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yus\Documents\SWARM SIMULATION CONTENT (NOT CODING FILES)\Experiment Data\Processed Data\Baseline_Proc\"/>
    </mc:Choice>
  </mc:AlternateContent>
  <xr:revisionPtr revIDLastSave="0" documentId="8_{C124939F-D197-4E49-B540-D169CF95F0D8}" xr6:coauthVersionLast="47" xr6:coauthVersionMax="47" xr10:uidLastSave="{00000000-0000-0000-0000-000000000000}"/>
  <bookViews>
    <workbookView xWindow="-108" yWindow="-108" windowWidth="23256" windowHeight="13896" xr2:uid="{FF087FC3-1DDC-4664-88B0-46052BE778CB}"/>
  </bookViews>
  <sheets>
    <sheet name="baseline_summary" sheetId="2" r:id="rId1"/>
    <sheet name="Sheet1" sheetId="1" r:id="rId2"/>
  </sheets>
  <definedNames>
    <definedName name="ExternalData_1" localSheetId="0" hidden="1">baseline_summary!$B$1:$I$21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2" l="1"/>
  <c r="H23" i="2"/>
  <c r="G23" i="2"/>
  <c r="F23" i="2"/>
  <c r="E23" i="2"/>
  <c r="D23" i="2"/>
  <c r="C23" i="2"/>
  <c r="B23" i="2"/>
  <c r="I22" i="2"/>
  <c r="H22" i="2"/>
  <c r="G22" i="2"/>
  <c r="F22" i="2"/>
  <c r="E22" i="2"/>
  <c r="D22" i="2"/>
  <c r="C22" i="2"/>
  <c r="B2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7C8FED-9F21-45BC-85EB-DDCF894CEE5A}" keepAlive="1" name="Query - baseline_summary" description="Connection to the 'baseline_summary' query in the workbook." type="5" refreshedVersion="8" background="1" saveData="1">
    <dbPr connection="Provider=Microsoft.Mashup.OleDb.1;Data Source=$Workbook$;Location=baseline_summary;Extended Properties=&quot;&quot;" command="SELECT * FROM [baseline_summary]"/>
  </connection>
</connections>
</file>

<file path=xl/sharedStrings.xml><?xml version="1.0" encoding="utf-8"?>
<sst xmlns="http://schemas.openxmlformats.org/spreadsheetml/2006/main" count="15" uniqueCount="14">
  <si>
    <t>Failure Rate</t>
  </si>
  <si>
    <t>Noise STD</t>
  </si>
  <si>
    <t>Swarm Size</t>
  </si>
  <si>
    <t>Resources Collected</t>
  </si>
  <si>
    <t>Alive Robots</t>
  </si>
  <si>
    <t>Simulation Time</t>
  </si>
  <si>
    <t>Collection  Rate</t>
  </si>
  <si>
    <t>Completion Percentage</t>
  </si>
  <si>
    <t>Sum</t>
  </si>
  <si>
    <t>Average</t>
  </si>
  <si>
    <t>Running Total</t>
  </si>
  <si>
    <t>Count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</si>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</sst>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B6A979-B4EC-4B17-893F-B7E728B9FA1F}" autoFormatId="16" applyNumberFormats="0" applyBorderFormats="0" applyFontFormats="0" applyPatternFormats="0" applyAlignmentFormats="0" applyWidthHeightFormats="0">
  <queryTableRefresh nextId="9">
    <queryTableFields count="8">
      <queryTableField id="1" name="Failure Rate" tableColumnId="1"/>
      <queryTableField id="2" name="Noise STD" tableColumnId="2"/>
      <queryTableField id="3" name="Swarm Size" tableColumnId="3"/>
      <queryTableField id="4" name="Resources Collected" tableColumnId="4"/>
      <queryTableField id="5" name="Alive Robots" tableColumnId="5"/>
      <queryTableField id="6" name="Simulation Time" tableColumnId="6"/>
      <queryTableField id="7" name="Collection  Rate" tableColumnId="7"/>
      <queryTableField id="8" name="Completion Percentag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F021D1-2AE4-4871-BF95-A0C6C715A3B4}" name="baseline_summary" displayName="baseline_summary" ref="B1:I22" tableType="queryTable" totalsRowCount="1">
  <autoFilter ref="B1:I21" xr:uid="{8EF021D1-2AE4-4871-BF95-A0C6C715A3B4}"/>
  <tableColumns count="8">
    <tableColumn id="1" xr3:uid="{42BEDD83-E537-48A8-A772-4359B5537C78}" uniqueName="1" name="Failure Rate" totalsRowFunction="custom" queryTableFieldId="1">
      <totalsRowFormula>AVERAGE(B2:B21)</totalsRowFormula>
    </tableColumn>
    <tableColumn id="2" xr3:uid="{8CD816ED-82BA-49B4-9CCF-C8B8027081E4}" uniqueName="2" name="Noise STD" totalsRowFunction="custom" queryTableFieldId="2">
      <totalsRowFormula>AVERAGE(C1:C21)</totalsRowFormula>
    </tableColumn>
    <tableColumn id="3" xr3:uid="{C88DC01F-E047-4CC1-83AA-E18EFD435B1C}" uniqueName="3" name="Swarm Size" totalsRowFunction="custom" queryTableFieldId="3">
      <totalsRowFormula>AVERAGE(D1:D21)</totalsRowFormula>
    </tableColumn>
    <tableColumn id="4" xr3:uid="{A142EC0A-E76A-4B89-B826-86E738EDECE2}" uniqueName="4" name="Resources Collected" totalsRowFunction="custom" queryTableFieldId="4">
      <totalsRowFormula>AVERAGE(E1:E21)</totalsRowFormula>
    </tableColumn>
    <tableColumn id="5" xr3:uid="{0BA66769-26F5-4C0F-B0AA-D50CF150BCCF}" uniqueName="5" name="Alive Robots" totalsRowFunction="custom" queryTableFieldId="5">
      <totalsRowFormula>AVERAGE(F1:F21)</totalsRowFormula>
    </tableColumn>
    <tableColumn id="6" xr3:uid="{C0819EE3-3098-40F3-95BC-6F4B54E14F99}" uniqueName="6" name="Simulation Time" totalsRowFunction="custom" queryTableFieldId="6">
      <totalsRowFormula>AVERAGE(G1:G21)</totalsRowFormula>
    </tableColumn>
    <tableColumn id="7" xr3:uid="{D060F562-6B7D-4E5A-9274-C9C620463C82}" uniqueName="7" name="Collection  Rate" totalsRowFunction="custom" queryTableFieldId="7">
      <totalsRowFormula>AVERAGE(H1:H21)</totalsRowFormula>
    </tableColumn>
    <tableColumn id="8" xr3:uid="{FF525262-B1B8-47FB-A7E4-0F0081AD193B}" uniqueName="8" name="Completion Percentage" totalsRowFunction="custom" queryTableFieldId="8">
      <totalsRowFormula>AVERAGE(I1:I21)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32AD-790F-47B1-955B-8F2D84577365}">
  <dimension ref="A1:I23"/>
  <sheetViews>
    <sheetView tabSelected="1" zoomScale="86" workbookViewId="0">
      <selection activeCell="K12" sqref="K12"/>
    </sheetView>
  </sheetViews>
  <sheetFormatPr defaultRowHeight="14.4" x14ac:dyDescent="0.3"/>
  <cols>
    <col min="2" max="2" width="13" bestFit="1" customWidth="1"/>
    <col min="3" max="3" width="11.5546875" bestFit="1" customWidth="1"/>
    <col min="4" max="4" width="12.6640625" bestFit="1" customWidth="1"/>
    <col min="5" max="5" width="20.109375" bestFit="1" customWidth="1"/>
    <col min="6" max="6" width="13.6640625" bestFit="1" customWidth="1"/>
    <col min="7" max="7" width="16.88671875" bestFit="1" customWidth="1"/>
    <col min="8" max="8" width="16.33203125" bestFit="1" customWidth="1"/>
    <col min="9" max="9" width="23.109375" bestFit="1" customWidth="1"/>
  </cols>
  <sheetData>
    <row r="1" spans="2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2:9" x14ac:dyDescent="0.3">
      <c r="B2">
        <v>0</v>
      </c>
      <c r="C2">
        <v>0</v>
      </c>
      <c r="D2">
        <v>50</v>
      </c>
      <c r="E2">
        <v>100</v>
      </c>
      <c r="F2">
        <v>50</v>
      </c>
      <c r="G2">
        <v>1190.9666666666667</v>
      </c>
      <c r="H2">
        <v>8.3965406252623914E-2</v>
      </c>
      <c r="I2">
        <v>100</v>
      </c>
    </row>
    <row r="3" spans="2:9" x14ac:dyDescent="0.3">
      <c r="B3">
        <v>0</v>
      </c>
      <c r="C3">
        <v>0</v>
      </c>
      <c r="D3">
        <v>50</v>
      </c>
      <c r="E3">
        <v>100</v>
      </c>
      <c r="F3">
        <v>50</v>
      </c>
      <c r="G3">
        <v>905.23333333333335</v>
      </c>
      <c r="H3">
        <v>0.11046875575358103</v>
      </c>
      <c r="I3">
        <v>100</v>
      </c>
    </row>
    <row r="4" spans="2:9" x14ac:dyDescent="0.3">
      <c r="B4">
        <v>0</v>
      </c>
      <c r="C4">
        <v>0</v>
      </c>
      <c r="D4">
        <v>50</v>
      </c>
      <c r="E4">
        <v>100</v>
      </c>
      <c r="F4">
        <v>50</v>
      </c>
      <c r="G4">
        <v>868.26666666666665</v>
      </c>
      <c r="H4">
        <v>0.11517199017199017</v>
      </c>
      <c r="I4">
        <v>100</v>
      </c>
    </row>
    <row r="5" spans="2:9" x14ac:dyDescent="0.3">
      <c r="B5">
        <v>0</v>
      </c>
      <c r="C5">
        <v>0</v>
      </c>
      <c r="D5">
        <v>50</v>
      </c>
      <c r="E5">
        <v>100</v>
      </c>
      <c r="F5">
        <v>50</v>
      </c>
      <c r="G5">
        <v>1415.9</v>
      </c>
      <c r="H5">
        <v>7.062645667066883E-2</v>
      </c>
      <c r="I5">
        <v>100</v>
      </c>
    </row>
    <row r="6" spans="2:9" x14ac:dyDescent="0.3">
      <c r="B6">
        <v>0</v>
      </c>
      <c r="C6">
        <v>0</v>
      </c>
      <c r="D6">
        <v>50</v>
      </c>
      <c r="E6">
        <v>100</v>
      </c>
      <c r="F6">
        <v>50</v>
      </c>
      <c r="G6">
        <v>722.0333333333333</v>
      </c>
      <c r="H6">
        <v>0.13849776095286459</v>
      </c>
      <c r="I6">
        <v>100</v>
      </c>
    </row>
    <row r="7" spans="2:9" x14ac:dyDescent="0.3">
      <c r="B7">
        <v>0</v>
      </c>
      <c r="C7">
        <v>0</v>
      </c>
      <c r="D7">
        <v>50</v>
      </c>
      <c r="E7">
        <v>100</v>
      </c>
      <c r="F7">
        <v>50</v>
      </c>
      <c r="G7">
        <v>1359.1666666666667</v>
      </c>
      <c r="H7">
        <v>7.3574494175352542E-2</v>
      </c>
      <c r="I7">
        <v>100</v>
      </c>
    </row>
    <row r="8" spans="2:9" x14ac:dyDescent="0.3">
      <c r="B8">
        <v>0</v>
      </c>
      <c r="C8">
        <v>0</v>
      </c>
      <c r="D8">
        <v>50</v>
      </c>
      <c r="E8">
        <v>100</v>
      </c>
      <c r="F8">
        <v>50</v>
      </c>
      <c r="G8">
        <v>873.8</v>
      </c>
      <c r="H8">
        <v>0.11444266422522317</v>
      </c>
      <c r="I8">
        <v>100</v>
      </c>
    </row>
    <row r="9" spans="2:9" x14ac:dyDescent="0.3">
      <c r="B9">
        <v>0</v>
      </c>
      <c r="C9">
        <v>0</v>
      </c>
      <c r="D9">
        <v>50</v>
      </c>
      <c r="E9">
        <v>100</v>
      </c>
      <c r="F9">
        <v>50</v>
      </c>
      <c r="G9">
        <v>1512.4</v>
      </c>
      <c r="H9">
        <v>6.6120074054482933E-2</v>
      </c>
      <c r="I9">
        <v>100</v>
      </c>
    </row>
    <row r="10" spans="2:9" x14ac:dyDescent="0.3">
      <c r="B10">
        <v>0</v>
      </c>
      <c r="C10">
        <v>0</v>
      </c>
      <c r="D10">
        <v>50</v>
      </c>
      <c r="E10">
        <v>100</v>
      </c>
      <c r="F10">
        <v>50</v>
      </c>
      <c r="G10">
        <v>1388.1</v>
      </c>
      <c r="H10">
        <v>7.2040919242129534E-2</v>
      </c>
      <c r="I10">
        <v>100</v>
      </c>
    </row>
    <row r="11" spans="2:9" x14ac:dyDescent="0.3">
      <c r="B11">
        <v>0</v>
      </c>
      <c r="C11">
        <v>0</v>
      </c>
      <c r="D11">
        <v>50</v>
      </c>
      <c r="E11">
        <v>100</v>
      </c>
      <c r="F11">
        <v>50</v>
      </c>
      <c r="G11">
        <v>1334.7333333333333</v>
      </c>
      <c r="H11">
        <v>7.4921332600769192E-2</v>
      </c>
      <c r="I11">
        <v>100</v>
      </c>
    </row>
    <row r="12" spans="2:9" x14ac:dyDescent="0.3">
      <c r="B12">
        <v>0</v>
      </c>
      <c r="C12">
        <v>0</v>
      </c>
      <c r="D12">
        <v>50</v>
      </c>
      <c r="E12">
        <v>100</v>
      </c>
      <c r="F12">
        <v>50</v>
      </c>
      <c r="G12">
        <v>898</v>
      </c>
      <c r="H12">
        <v>0.111358574610245</v>
      </c>
      <c r="I12">
        <v>100</v>
      </c>
    </row>
    <row r="13" spans="2:9" x14ac:dyDescent="0.3">
      <c r="B13">
        <v>0</v>
      </c>
      <c r="C13">
        <v>0</v>
      </c>
      <c r="D13">
        <v>50</v>
      </c>
      <c r="E13">
        <v>100</v>
      </c>
      <c r="F13">
        <v>50</v>
      </c>
      <c r="G13">
        <v>939.86666666666667</v>
      </c>
      <c r="H13">
        <v>0.10639807064831891</v>
      </c>
      <c r="I13">
        <v>100</v>
      </c>
    </row>
    <row r="14" spans="2:9" x14ac:dyDescent="0.3">
      <c r="B14">
        <v>0</v>
      </c>
      <c r="C14">
        <v>0</v>
      </c>
      <c r="D14">
        <v>50</v>
      </c>
      <c r="E14">
        <v>100</v>
      </c>
      <c r="F14">
        <v>50</v>
      </c>
      <c r="G14">
        <v>1788.2333333333333</v>
      </c>
      <c r="H14">
        <v>5.5921113948589854E-2</v>
      </c>
      <c r="I14">
        <v>100</v>
      </c>
    </row>
    <row r="15" spans="2:9" x14ac:dyDescent="0.3">
      <c r="B15">
        <v>0</v>
      </c>
      <c r="C15">
        <v>0</v>
      </c>
      <c r="D15">
        <v>50</v>
      </c>
      <c r="E15">
        <v>100</v>
      </c>
      <c r="F15">
        <v>50</v>
      </c>
      <c r="G15">
        <v>773.0333333333333</v>
      </c>
      <c r="H15">
        <v>0.12936052779095339</v>
      </c>
      <c r="I15">
        <v>100</v>
      </c>
    </row>
    <row r="16" spans="2:9" x14ac:dyDescent="0.3">
      <c r="B16">
        <v>0</v>
      </c>
      <c r="C16">
        <v>0</v>
      </c>
      <c r="D16">
        <v>50</v>
      </c>
      <c r="E16">
        <v>100</v>
      </c>
      <c r="F16">
        <v>50</v>
      </c>
      <c r="G16">
        <v>1232.9000000000001</v>
      </c>
      <c r="H16">
        <v>8.1109579041284768E-2</v>
      </c>
      <c r="I16">
        <v>100</v>
      </c>
    </row>
    <row r="17" spans="1:9" x14ac:dyDescent="0.3">
      <c r="B17">
        <v>0</v>
      </c>
      <c r="C17">
        <v>0</v>
      </c>
      <c r="D17">
        <v>50</v>
      </c>
      <c r="E17">
        <v>100</v>
      </c>
      <c r="F17">
        <v>50</v>
      </c>
      <c r="G17">
        <v>2217.1999999999998</v>
      </c>
      <c r="H17">
        <v>4.5101930362619523E-2</v>
      </c>
      <c r="I17">
        <v>100</v>
      </c>
    </row>
    <row r="18" spans="1:9" x14ac:dyDescent="0.3">
      <c r="B18">
        <v>0</v>
      </c>
      <c r="C18">
        <v>0</v>
      </c>
      <c r="D18">
        <v>50</v>
      </c>
      <c r="E18">
        <v>100</v>
      </c>
      <c r="F18">
        <v>50</v>
      </c>
      <c r="G18">
        <v>649.43333333333328</v>
      </c>
      <c r="H18">
        <v>0.15398039316327056</v>
      </c>
      <c r="I18">
        <v>100</v>
      </c>
    </row>
    <row r="19" spans="1:9" x14ac:dyDescent="0.3">
      <c r="B19">
        <v>0</v>
      </c>
      <c r="C19">
        <v>0</v>
      </c>
      <c r="D19">
        <v>50</v>
      </c>
      <c r="E19">
        <v>100</v>
      </c>
      <c r="F19">
        <v>50</v>
      </c>
      <c r="G19">
        <v>763.23333333333335</v>
      </c>
      <c r="H19">
        <v>0.13102153120496135</v>
      </c>
      <c r="I19">
        <v>100</v>
      </c>
    </row>
    <row r="20" spans="1:9" x14ac:dyDescent="0.3">
      <c r="B20">
        <v>0</v>
      </c>
      <c r="C20">
        <v>0</v>
      </c>
      <c r="D20">
        <v>50</v>
      </c>
      <c r="E20">
        <v>100</v>
      </c>
      <c r="F20">
        <v>50</v>
      </c>
      <c r="G20">
        <v>1634.6666666666667</v>
      </c>
      <c r="H20">
        <v>6.1174551386623165E-2</v>
      </c>
      <c r="I20">
        <v>100</v>
      </c>
    </row>
    <row r="21" spans="1:9" x14ac:dyDescent="0.3">
      <c r="B21">
        <v>0</v>
      </c>
      <c r="C21">
        <v>0</v>
      </c>
      <c r="D21">
        <v>50</v>
      </c>
      <c r="E21">
        <v>100</v>
      </c>
      <c r="F21">
        <v>50</v>
      </c>
      <c r="G21">
        <v>1269.5666666666666</v>
      </c>
      <c r="H21">
        <v>7.876703337096648E-2</v>
      </c>
      <c r="I21">
        <v>100</v>
      </c>
    </row>
    <row r="22" spans="1:9" x14ac:dyDescent="0.3">
      <c r="A22" t="s">
        <v>12</v>
      </c>
      <c r="B22">
        <f>AVERAGE(B2:B21)</f>
        <v>0</v>
      </c>
      <c r="C22">
        <f>AVERAGE(C1:C21)</f>
        <v>0</v>
      </c>
      <c r="D22">
        <f>AVERAGE(D1:D21)</f>
        <v>50</v>
      </c>
      <c r="E22">
        <f>AVERAGE(E1:E21)</f>
        <v>100</v>
      </c>
      <c r="F22">
        <f>AVERAGE(F1:F21)</f>
        <v>50</v>
      </c>
      <c r="G22">
        <f>AVERAGE(G1:G21)</f>
        <v>1186.8366666666668</v>
      </c>
      <c r="H22">
        <f>AVERAGE(H1:H21)</f>
        <v>9.3701157981375932E-2</v>
      </c>
      <c r="I22">
        <f>AVERAGE(I1:I21)</f>
        <v>100</v>
      </c>
    </row>
    <row r="23" spans="1:9" x14ac:dyDescent="0.3">
      <c r="A23" t="s">
        <v>13</v>
      </c>
      <c r="B23">
        <f>_xlfn.STDEV.P(B2:B21)</f>
        <v>0</v>
      </c>
      <c r="C23">
        <f>_xlfn.STDEV.P(C1:C21)</f>
        <v>0</v>
      </c>
      <c r="D23">
        <f>_xlfn.STDEV.P(D1:D21)</f>
        <v>0</v>
      </c>
      <c r="E23">
        <f>_xlfn.STDEV.P(E1:E21)</f>
        <v>0</v>
      </c>
      <c r="F23">
        <f>_xlfn.STDEV.P(F1:F21)</f>
        <v>0</v>
      </c>
      <c r="G23">
        <f>_xlfn.STDEV.P(G1:G21)</f>
        <v>397.62534989330993</v>
      </c>
      <c r="H23">
        <f>_xlfn.STDEV.P(H1:H21)</f>
        <v>2.9827607805971695E-2</v>
      </c>
      <c r="I23">
        <f>_xlfn.STDEV.P(I1:I21)</f>
        <v>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21C6-7209-417F-96DA-0BC884AAAEE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1D799E-367D-40CE-ACB7-15EB2EF9F1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baseline_summary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Jha</dc:creator>
  <cp:lastModifiedBy>Piyush Jha</cp:lastModifiedBy>
  <dcterms:created xsi:type="dcterms:W3CDTF">2026-06-27T13:09:55Z</dcterms:created>
  <dcterms:modified xsi:type="dcterms:W3CDTF">2026-06-27T13:30:34Z</dcterms:modified>
</cp:coreProperties>
</file>