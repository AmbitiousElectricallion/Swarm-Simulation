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\Documents\SWARM SIMULATION CONTENT (NOT CODING FILES)\Experiment Data\Processed Data\Noise_Proc\"/>
    </mc:Choice>
  </mc:AlternateContent>
  <xr:revisionPtr revIDLastSave="0" documentId="8_{E388EF04-9CF9-4A64-A10C-99860AC416A4}" xr6:coauthVersionLast="47" xr6:coauthVersionMax="47" xr10:uidLastSave="{00000000-0000-0000-0000-000000000000}"/>
  <bookViews>
    <workbookView xWindow="-108" yWindow="-108" windowWidth="23256" windowHeight="13896" xr2:uid="{915251F7-35E5-4A68-841C-A3597208C17D}"/>
  </bookViews>
  <sheets>
    <sheet name="20px_summary" sheetId="2" r:id="rId1"/>
    <sheet name="noise_50_summary" sheetId="3" r:id="rId2"/>
    <sheet name="noise_100_summary" sheetId="4" r:id="rId3"/>
    <sheet name="Sheet1" sheetId="1" r:id="rId4"/>
  </sheets>
  <definedNames>
    <definedName name="ExternalData_1" localSheetId="0" hidden="1">'20px_summary'!$B$1:$I$21</definedName>
    <definedName name="ExternalData_1" localSheetId="2" hidden="1">noise_100_summary!$B$1:$I$21</definedName>
    <definedName name="ExternalData_1" localSheetId="1" hidden="1">noise_50_summary!$B$1:$I$21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4" l="1"/>
  <c r="G22" i="4"/>
  <c r="I22" i="4"/>
  <c r="F22" i="4"/>
  <c r="E22" i="4"/>
  <c r="D22" i="4"/>
  <c r="C22" i="4"/>
  <c r="B22" i="4"/>
  <c r="H23" i="4"/>
  <c r="G23" i="4"/>
  <c r="B23" i="4"/>
  <c r="I23" i="3"/>
  <c r="H23" i="3"/>
  <c r="G23" i="3"/>
  <c r="F23" i="3"/>
  <c r="E23" i="3"/>
  <c r="D23" i="3"/>
  <c r="C23" i="3"/>
  <c r="G22" i="3"/>
  <c r="B23" i="3"/>
  <c r="B23" i="2"/>
  <c r="I22" i="3"/>
  <c r="H22" i="3"/>
  <c r="F22" i="3"/>
  <c r="E22" i="3"/>
  <c r="D22" i="3"/>
  <c r="C22" i="3"/>
  <c r="B22" i="3"/>
  <c r="B22" i="2"/>
  <c r="I23" i="2"/>
  <c r="H23" i="2"/>
  <c r="G23" i="2"/>
  <c r="F23" i="2"/>
  <c r="E23" i="2"/>
  <c r="D23" i="2"/>
  <c r="C23" i="2"/>
  <c r="I22" i="2"/>
  <c r="H22" i="2"/>
  <c r="G22" i="2"/>
  <c r="F22" i="2"/>
  <c r="E22" i="2"/>
  <c r="D22" i="2"/>
  <c r="C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C9DB37-681D-40A2-B660-90ECD2B29B2A}" keepAlive="1" name="Query - 20px_summary" description="Connection to the '20px_summary' query in the workbook." type="5" refreshedVersion="8" background="1" saveData="1">
    <dbPr connection="Provider=Microsoft.Mashup.OleDb.1;Data Source=$Workbook$;Location=20px_summary;Extended Properties=&quot;&quot;" command="SELECT * FROM [20px_summary]"/>
  </connection>
  <connection id="2" xr16:uid="{0E20702F-70AF-44A2-9AA9-23515F1435FA}" keepAlive="1" name="Query - noise_100_summary" description="Connection to the 'noise_100_summary' query in the workbook." type="5" refreshedVersion="8" background="1" saveData="1">
    <dbPr connection="Provider=Microsoft.Mashup.OleDb.1;Data Source=$Workbook$;Location=noise_100_summary;Extended Properties=&quot;&quot;" command="SELECT * FROM [noise_100_summary]"/>
  </connection>
  <connection id="3" xr16:uid="{30F00713-79FA-4750-99A1-E325C1B79ABA}" keepAlive="1" name="Query - noise_50_summary" description="Connection to the 'noise_50_summary' query in the workbook." type="5" refreshedVersion="8" background="1" saveData="1">
    <dbPr connection="Provider=Microsoft.Mashup.OleDb.1;Data Source=$Workbook$;Location=noise_50_summary;Extended Properties=&quot;&quot;" command="SELECT * FROM [noise_50_summary]"/>
  </connection>
</connections>
</file>

<file path=xl/sharedStrings.xml><?xml version="1.0" encoding="utf-8"?>
<sst xmlns="http://schemas.openxmlformats.org/spreadsheetml/2006/main" count="30" uniqueCount="10">
  <si>
    <t>Failure Rate</t>
  </si>
  <si>
    <t>Noise STD</t>
  </si>
  <si>
    <t>Swarm Size</t>
  </si>
  <si>
    <t>Resources Collected</t>
  </si>
  <si>
    <t>Alive Robots</t>
  </si>
  <si>
    <t>Simulation Time</t>
  </si>
  <si>
    <t>Collection  Rate</t>
  </si>
  <si>
    <t>Completion Percentage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</si>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</sst>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C12143-32DA-4A9A-9E87-B8184727FC82}" autoFormatId="16" applyNumberFormats="0" applyBorderFormats="0" applyFontFormats="0" applyPatternFormats="0" applyAlignmentFormats="0" applyWidthHeightFormats="0">
  <queryTableRefresh nextId="9">
    <queryTableFields count="8">
      <queryTableField id="1" name="Failure Rate" tableColumnId="1"/>
      <queryTableField id="2" name="Noise STD" tableColumnId="2"/>
      <queryTableField id="3" name="Swarm Size" tableColumnId="3"/>
      <queryTableField id="4" name="Resources Collected" tableColumnId="4"/>
      <queryTableField id="5" name="Alive Robots" tableColumnId="5"/>
      <queryTableField id="6" name="Simulation Time" tableColumnId="6"/>
      <queryTableField id="7" name="Collection  Rate" tableColumnId="7"/>
      <queryTableField id="8" name="Completion Percentag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7FD2558-DEEF-4BCD-B145-4E6E08A4919E}" autoFormatId="16" applyNumberFormats="0" applyBorderFormats="0" applyFontFormats="0" applyPatternFormats="0" applyAlignmentFormats="0" applyWidthHeightFormats="0">
  <queryTableRefresh nextId="9">
    <queryTableFields count="8">
      <queryTableField id="1" name="Failure Rate" tableColumnId="1"/>
      <queryTableField id="2" name="Noise STD" tableColumnId="2"/>
      <queryTableField id="3" name="Swarm Size" tableColumnId="3"/>
      <queryTableField id="4" name="Resources Collected" tableColumnId="4"/>
      <queryTableField id="5" name="Alive Robots" tableColumnId="5"/>
      <queryTableField id="6" name="Simulation Time" tableColumnId="6"/>
      <queryTableField id="7" name="Collection  Rate" tableColumnId="7"/>
      <queryTableField id="8" name="Completion Percentag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763F498-3D69-4FA9-BE15-F38B75F871C7}" autoFormatId="16" applyNumberFormats="0" applyBorderFormats="0" applyFontFormats="0" applyPatternFormats="0" applyAlignmentFormats="0" applyWidthHeightFormats="0">
  <queryTableRefresh nextId="9">
    <queryTableFields count="8">
      <queryTableField id="1" name="Failure Rate" tableColumnId="1"/>
      <queryTableField id="2" name="Noise STD" tableColumnId="2"/>
      <queryTableField id="3" name="Swarm Size" tableColumnId="3"/>
      <queryTableField id="4" name="Resources Collected" tableColumnId="4"/>
      <queryTableField id="5" name="Alive Robots" tableColumnId="5"/>
      <queryTableField id="6" name="Simulation Time" tableColumnId="6"/>
      <queryTableField id="7" name="Collection  Rate" tableColumnId="7"/>
      <queryTableField id="8" name="Completion Percentag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8C25D-389D-4AFF-95ED-E32A657763E1}" name="_20px_summary" displayName="_20px_summary" ref="B1:I22" tableType="queryTable" totalsRowCount="1">
  <autoFilter ref="B1:I21" xr:uid="{5E88C25D-389D-4AFF-95ED-E32A657763E1}"/>
  <tableColumns count="8">
    <tableColumn id="1" xr3:uid="{05941779-B5E3-4905-B71F-23861EEFB397}" uniqueName="1" name="Failure Rate" totalsRowFunction="custom" queryTableFieldId="1">
      <totalsRowFormula>AVERAGE(B1:B21)</totalsRowFormula>
    </tableColumn>
    <tableColumn id="2" xr3:uid="{985CC99E-A5A7-4F62-B1D1-C85D875AD1A9}" uniqueName="2" name="Noise STD" totalsRowFunction="custom" queryTableFieldId="2">
      <totalsRowFormula>AVERAGE(C1:C21)</totalsRowFormula>
    </tableColumn>
    <tableColumn id="3" xr3:uid="{8BF17DA2-36AA-4E87-9F46-DAAB264B559D}" uniqueName="3" name="Swarm Size" totalsRowFunction="custom" queryTableFieldId="3">
      <totalsRowFormula>AVERAGE(D1:D21)</totalsRowFormula>
    </tableColumn>
    <tableColumn id="4" xr3:uid="{9994A5AA-32A5-4FE6-884B-8542C33BEBEE}" uniqueName="4" name="Resources Collected" totalsRowFunction="custom" queryTableFieldId="4">
      <totalsRowFormula>AVERAGE(E1:E21)</totalsRowFormula>
    </tableColumn>
    <tableColumn id="5" xr3:uid="{D3680E76-A15E-4D4F-A8DC-EFB0FE06BD91}" uniqueName="5" name="Alive Robots" totalsRowFunction="custom" queryTableFieldId="5">
      <totalsRowFormula>AVERAGE(F1:F21)</totalsRowFormula>
    </tableColumn>
    <tableColumn id="6" xr3:uid="{107C983A-F04D-4372-96B4-DBCCEAFE2D0A}" uniqueName="6" name="Simulation Time" totalsRowFunction="custom" queryTableFieldId="6">
      <totalsRowFormula>AVERAGE(G1:G21)</totalsRowFormula>
    </tableColumn>
    <tableColumn id="7" xr3:uid="{F44329D5-AD81-46EF-B598-D4BC7658DD20}" uniqueName="7" name="Collection  Rate" totalsRowFunction="custom" queryTableFieldId="7">
      <totalsRowFormula>AVERAGE(H1:H21)</totalsRowFormula>
    </tableColumn>
    <tableColumn id="8" xr3:uid="{C2998ECE-7E3B-4D72-A3D5-E13E7B8562C1}" uniqueName="8" name="Completion Percentage" totalsRowFunction="custom" queryTableFieldId="8">
      <totalsRowFormula>100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2A172B-0D7E-4D3B-99C4-ED7D0D3F4C20}" name="noise_50_summary" displayName="noise_50_summary" ref="B1:I22" tableType="queryTable" totalsRowCount="1">
  <autoFilter ref="B1:I21" xr:uid="{5F2A172B-0D7E-4D3B-99C4-ED7D0D3F4C20}"/>
  <tableColumns count="8">
    <tableColumn id="1" xr3:uid="{8C375E3A-96C4-4087-B559-0A330EDED4C1}" uniqueName="1" name="Failure Rate" totalsRowFunction="custom" queryTableFieldId="1">
      <totalsRowFormula>AVERAGE(B1:B21)</totalsRowFormula>
    </tableColumn>
    <tableColumn id="2" xr3:uid="{84C51A3E-81E0-4043-B27D-AB0E9DB0B3B7}" uniqueName="2" name="Noise STD" totalsRowFunction="average" queryTableFieldId="2"/>
    <tableColumn id="3" xr3:uid="{428D86A7-28E6-4111-BD50-7CD55BF223B8}" uniqueName="3" name="Swarm Size" totalsRowFunction="average" queryTableFieldId="3"/>
    <tableColumn id="4" xr3:uid="{1FDAD110-C02E-4D6F-9F52-54CD6CE83CC0}" uniqueName="4" name="Resources Collected" totalsRowFunction="average" queryTableFieldId="4"/>
    <tableColumn id="5" xr3:uid="{CE357897-84A9-4B8D-980B-CE35B43815DB}" uniqueName="5" name="Alive Robots" totalsRowFunction="average" queryTableFieldId="5"/>
    <tableColumn id="6" xr3:uid="{3393E2A0-3A59-404F-AE24-58756219C7F5}" uniqueName="6" name="Simulation Time" totalsRowFunction="average" queryTableFieldId="6"/>
    <tableColumn id="7" xr3:uid="{27C6319A-72C3-4998-A5F8-13844D1694B7}" uniqueName="7" name="Collection  Rate" totalsRowFunction="average" queryTableFieldId="7"/>
    <tableColumn id="8" xr3:uid="{574E0DEA-7050-4E91-A89D-7628D328311B}" uniqueName="8" name="Completion Percentage" totalsRowFunction="averag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D36865-354D-4B4C-88D4-521F21410610}" name="noise_100_summary" displayName="noise_100_summary" ref="B1:I22" tableType="queryTable" totalsRowCount="1">
  <autoFilter ref="B1:I21" xr:uid="{9CD36865-354D-4B4C-88D4-521F21410610}"/>
  <tableColumns count="8">
    <tableColumn id="1" xr3:uid="{943D2EDE-EFA7-4F77-B6AB-DFC6B19BCFFB}" uniqueName="1" name="Failure Rate" totalsRowFunction="custom" queryTableFieldId="1">
      <totalsRowFormula>AVERAGE(B1:B21)</totalsRowFormula>
    </tableColumn>
    <tableColumn id="2" xr3:uid="{FF692975-4497-4771-BB9C-CE776DE329FE}" uniqueName="2" name="Noise STD" totalsRowFunction="custom" queryTableFieldId="2">
      <totalsRowFormula>100</totalsRowFormula>
    </tableColumn>
    <tableColumn id="3" xr3:uid="{042EBF76-E739-4AF6-9DCD-0CF3BDBB7EDE}" uniqueName="3" name="Swarm Size" totalsRowFunction="custom" queryTableFieldId="3">
      <totalsRowFormula>50</totalsRowFormula>
    </tableColumn>
    <tableColumn id="4" xr3:uid="{BD5426DD-1DC4-4007-A6CA-3B2F3E03EF2C}" uniqueName="4" name="Resources Collected" totalsRowFunction="custom" queryTableFieldId="4">
      <totalsRowFormula>100</totalsRowFormula>
    </tableColumn>
    <tableColumn id="5" xr3:uid="{01787356-5289-4D36-8C4D-21A339BCA658}" uniqueName="5" name="Alive Robots" totalsRowFunction="custom" queryTableFieldId="5">
      <totalsRowFormula>50</totalsRowFormula>
    </tableColumn>
    <tableColumn id="6" xr3:uid="{F5A1D628-CA05-40DD-A03E-584E36A3F080}" uniqueName="6" name="Simulation Time" totalsRowFunction="custom" queryTableFieldId="6">
      <totalsRowFormula>AVERAGE(G1:G21)</totalsRowFormula>
    </tableColumn>
    <tableColumn id="7" xr3:uid="{BD996D46-90F9-46E6-BB3F-B401222F33FA}" uniqueName="7" name="Collection  Rate" totalsRowFunction="custom" queryTableFieldId="7">
      <totalsRowFormula>AVERAGE(H1:H21)</totalsRowFormula>
    </tableColumn>
    <tableColumn id="8" xr3:uid="{909425AD-38A2-4C55-8A21-46692FDB6635}" uniqueName="8" name="Completion Percentage" totalsRowFunction="custom" queryTableFieldId="8">
      <totalsRowFormula>100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75E-33C1-4BE9-A5B7-31FF8C5661F9}">
  <dimension ref="A1:I23"/>
  <sheetViews>
    <sheetView tabSelected="1" workbookViewId="0">
      <selection activeCell="D33" sqref="D33"/>
    </sheetView>
  </sheetViews>
  <sheetFormatPr defaultRowHeight="14.4" x14ac:dyDescent="0.3"/>
  <cols>
    <col min="2" max="2" width="13" bestFit="1" customWidth="1"/>
    <col min="3" max="3" width="11.5546875" bestFit="1" customWidth="1"/>
    <col min="4" max="4" width="12.6640625" bestFit="1" customWidth="1"/>
    <col min="5" max="5" width="20.109375" bestFit="1" customWidth="1"/>
    <col min="6" max="6" width="13.6640625" bestFit="1" customWidth="1"/>
    <col min="7" max="7" width="16.88671875" bestFit="1" customWidth="1"/>
    <col min="8" max="8" width="16.33203125" bestFit="1" customWidth="1"/>
    <col min="9" max="9" width="23.109375" bestFit="1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3">
      <c r="B2">
        <v>0</v>
      </c>
      <c r="C2">
        <v>20</v>
      </c>
      <c r="D2">
        <v>50</v>
      </c>
      <c r="E2">
        <v>100</v>
      </c>
      <c r="F2">
        <v>50</v>
      </c>
      <c r="G2">
        <v>2724.8666666666668</v>
      </c>
      <c r="H2">
        <v>3.6699043378269271E-2</v>
      </c>
      <c r="I2">
        <v>100</v>
      </c>
    </row>
    <row r="3" spans="2:9" x14ac:dyDescent="0.3">
      <c r="B3">
        <v>0</v>
      </c>
      <c r="C3">
        <v>20</v>
      </c>
      <c r="D3">
        <v>50</v>
      </c>
      <c r="E3">
        <v>100</v>
      </c>
      <c r="F3">
        <v>50</v>
      </c>
      <c r="G3">
        <v>1210.2</v>
      </c>
      <c r="H3">
        <v>8.2630970087588823E-2</v>
      </c>
      <c r="I3">
        <v>100</v>
      </c>
    </row>
    <row r="4" spans="2:9" x14ac:dyDescent="0.3">
      <c r="B4">
        <v>0</v>
      </c>
      <c r="C4">
        <v>20</v>
      </c>
      <c r="D4">
        <v>50</v>
      </c>
      <c r="E4">
        <v>100</v>
      </c>
      <c r="F4">
        <v>50</v>
      </c>
      <c r="G4">
        <v>1071.3333333333333</v>
      </c>
      <c r="H4">
        <v>9.3341630367143755E-2</v>
      </c>
      <c r="I4">
        <v>100</v>
      </c>
    </row>
    <row r="5" spans="2:9" x14ac:dyDescent="0.3">
      <c r="B5">
        <v>0</v>
      </c>
      <c r="C5">
        <v>20</v>
      </c>
      <c r="D5">
        <v>50</v>
      </c>
      <c r="E5">
        <v>100</v>
      </c>
      <c r="F5">
        <v>50</v>
      </c>
      <c r="G5">
        <v>1291.1666666666667</v>
      </c>
      <c r="H5">
        <v>7.7449335226539295E-2</v>
      </c>
      <c r="I5">
        <v>100</v>
      </c>
    </row>
    <row r="6" spans="2:9" x14ac:dyDescent="0.3">
      <c r="B6">
        <v>0</v>
      </c>
      <c r="C6">
        <v>20</v>
      </c>
      <c r="D6">
        <v>50</v>
      </c>
      <c r="E6">
        <v>100</v>
      </c>
      <c r="F6">
        <v>50</v>
      </c>
      <c r="G6">
        <v>2119.9</v>
      </c>
      <c r="H6">
        <v>4.7172036416812113E-2</v>
      </c>
      <c r="I6">
        <v>100</v>
      </c>
    </row>
    <row r="7" spans="2:9" x14ac:dyDescent="0.3">
      <c r="B7">
        <v>0</v>
      </c>
      <c r="C7">
        <v>20</v>
      </c>
      <c r="D7">
        <v>50</v>
      </c>
      <c r="E7">
        <v>100</v>
      </c>
      <c r="F7">
        <v>50</v>
      </c>
      <c r="G7">
        <v>2031.7</v>
      </c>
      <c r="H7">
        <v>4.921986513756952E-2</v>
      </c>
      <c r="I7">
        <v>100</v>
      </c>
    </row>
    <row r="8" spans="2:9" x14ac:dyDescent="0.3">
      <c r="B8">
        <v>0</v>
      </c>
      <c r="C8">
        <v>20</v>
      </c>
      <c r="D8">
        <v>50</v>
      </c>
      <c r="E8">
        <v>100</v>
      </c>
      <c r="F8">
        <v>50</v>
      </c>
      <c r="G8">
        <v>1164.3666666666666</v>
      </c>
      <c r="H8">
        <v>8.5883599095359434E-2</v>
      </c>
      <c r="I8">
        <v>100</v>
      </c>
    </row>
    <row r="9" spans="2:9" x14ac:dyDescent="0.3">
      <c r="B9">
        <v>0</v>
      </c>
      <c r="C9">
        <v>20</v>
      </c>
      <c r="D9">
        <v>50</v>
      </c>
      <c r="E9">
        <v>100</v>
      </c>
      <c r="F9">
        <v>50</v>
      </c>
      <c r="G9">
        <v>823.9</v>
      </c>
      <c r="H9">
        <v>0.12137395314965409</v>
      </c>
      <c r="I9">
        <v>100</v>
      </c>
    </row>
    <row r="10" spans="2:9" x14ac:dyDescent="0.3">
      <c r="B10">
        <v>0</v>
      </c>
      <c r="C10">
        <v>20</v>
      </c>
      <c r="D10">
        <v>50</v>
      </c>
      <c r="E10">
        <v>100</v>
      </c>
      <c r="F10">
        <v>50</v>
      </c>
      <c r="G10">
        <v>1383.5333333333333</v>
      </c>
      <c r="H10">
        <v>7.2278706693008246E-2</v>
      </c>
      <c r="I10">
        <v>100</v>
      </c>
    </row>
    <row r="11" spans="2:9" x14ac:dyDescent="0.3">
      <c r="B11">
        <v>0</v>
      </c>
      <c r="C11">
        <v>20</v>
      </c>
      <c r="D11">
        <v>50</v>
      </c>
      <c r="E11">
        <v>100</v>
      </c>
      <c r="F11">
        <v>50</v>
      </c>
      <c r="G11">
        <v>799.33333333333337</v>
      </c>
      <c r="H11">
        <v>0.12510425354462051</v>
      </c>
      <c r="I11">
        <v>100</v>
      </c>
    </row>
    <row r="12" spans="2:9" x14ac:dyDescent="0.3">
      <c r="B12">
        <v>0</v>
      </c>
      <c r="C12">
        <v>20</v>
      </c>
      <c r="D12">
        <v>50</v>
      </c>
      <c r="E12">
        <v>100</v>
      </c>
      <c r="F12">
        <v>50</v>
      </c>
      <c r="G12">
        <v>1345.6666666666667</v>
      </c>
      <c r="H12">
        <v>7.4312608372553879E-2</v>
      </c>
      <c r="I12">
        <v>100</v>
      </c>
    </row>
    <row r="13" spans="2:9" x14ac:dyDescent="0.3">
      <c r="B13">
        <v>0</v>
      </c>
      <c r="C13">
        <v>20</v>
      </c>
      <c r="D13">
        <v>50</v>
      </c>
      <c r="E13">
        <v>100</v>
      </c>
      <c r="F13">
        <v>50</v>
      </c>
      <c r="G13">
        <v>1776.5333333333333</v>
      </c>
      <c r="H13">
        <v>5.6289402581807264E-2</v>
      </c>
      <c r="I13">
        <v>100</v>
      </c>
    </row>
    <row r="14" spans="2:9" x14ac:dyDescent="0.3">
      <c r="B14">
        <v>0</v>
      </c>
      <c r="C14">
        <v>20</v>
      </c>
      <c r="D14">
        <v>50</v>
      </c>
      <c r="E14">
        <v>100</v>
      </c>
      <c r="F14">
        <v>50</v>
      </c>
      <c r="G14">
        <v>600.86666666666667</v>
      </c>
      <c r="H14">
        <v>0.16642627316098968</v>
      </c>
      <c r="I14">
        <v>100</v>
      </c>
    </row>
    <row r="15" spans="2:9" x14ac:dyDescent="0.3">
      <c r="B15">
        <v>0</v>
      </c>
      <c r="C15">
        <v>20</v>
      </c>
      <c r="D15">
        <v>50</v>
      </c>
      <c r="E15">
        <v>100</v>
      </c>
      <c r="F15">
        <v>50</v>
      </c>
      <c r="G15">
        <v>1157.8333333333333</v>
      </c>
      <c r="H15">
        <v>8.636821649632935E-2</v>
      </c>
      <c r="I15">
        <v>100</v>
      </c>
    </row>
    <row r="16" spans="2:9" x14ac:dyDescent="0.3">
      <c r="B16">
        <v>0</v>
      </c>
      <c r="C16">
        <v>20</v>
      </c>
      <c r="D16">
        <v>50</v>
      </c>
      <c r="E16">
        <v>100</v>
      </c>
      <c r="F16">
        <v>50</v>
      </c>
      <c r="G16">
        <v>1263.2</v>
      </c>
      <c r="H16">
        <v>7.9164027865737813E-2</v>
      </c>
      <c r="I16">
        <v>100</v>
      </c>
    </row>
    <row r="17" spans="1:9" x14ac:dyDescent="0.3">
      <c r="B17">
        <v>0</v>
      </c>
      <c r="C17">
        <v>20</v>
      </c>
      <c r="D17">
        <v>50</v>
      </c>
      <c r="E17">
        <v>100</v>
      </c>
      <c r="F17">
        <v>50</v>
      </c>
      <c r="G17">
        <v>2124.8000000000002</v>
      </c>
      <c r="H17">
        <v>4.7063253012048188E-2</v>
      </c>
      <c r="I17">
        <v>100</v>
      </c>
    </row>
    <row r="18" spans="1:9" x14ac:dyDescent="0.3">
      <c r="B18">
        <v>0</v>
      </c>
      <c r="C18">
        <v>20</v>
      </c>
      <c r="D18">
        <v>50</v>
      </c>
      <c r="E18">
        <v>100</v>
      </c>
      <c r="F18">
        <v>50</v>
      </c>
      <c r="G18">
        <v>1908.7666666666667</v>
      </c>
      <c r="H18">
        <v>5.2389850339660864E-2</v>
      </c>
      <c r="I18">
        <v>100</v>
      </c>
    </row>
    <row r="19" spans="1:9" x14ac:dyDescent="0.3">
      <c r="B19">
        <v>0</v>
      </c>
      <c r="C19">
        <v>20</v>
      </c>
      <c r="D19">
        <v>50</v>
      </c>
      <c r="E19">
        <v>100</v>
      </c>
      <c r="F19">
        <v>50</v>
      </c>
      <c r="G19">
        <v>1323.9</v>
      </c>
      <c r="H19">
        <v>7.5534405921897418E-2</v>
      </c>
      <c r="I19">
        <v>100</v>
      </c>
    </row>
    <row r="20" spans="1:9" x14ac:dyDescent="0.3">
      <c r="B20">
        <v>0</v>
      </c>
      <c r="C20">
        <v>20</v>
      </c>
      <c r="D20">
        <v>50</v>
      </c>
      <c r="E20">
        <v>100</v>
      </c>
      <c r="F20">
        <v>50</v>
      </c>
      <c r="G20">
        <v>1218.0666666666666</v>
      </c>
      <c r="H20">
        <v>8.2097312681298232E-2</v>
      </c>
      <c r="I20">
        <v>100</v>
      </c>
    </row>
    <row r="21" spans="1:9" x14ac:dyDescent="0.3">
      <c r="B21">
        <v>0</v>
      </c>
      <c r="C21">
        <v>20</v>
      </c>
      <c r="D21">
        <v>50</v>
      </c>
      <c r="E21">
        <v>100</v>
      </c>
      <c r="F21">
        <v>50</v>
      </c>
      <c r="G21">
        <v>1120.6333333333334</v>
      </c>
      <c r="H21">
        <v>8.923525387429726E-2</v>
      </c>
      <c r="I21">
        <v>100</v>
      </c>
    </row>
    <row r="22" spans="1:9" x14ac:dyDescent="0.3">
      <c r="A22" t="s">
        <v>8</v>
      </c>
      <c r="B22">
        <f>AVERAGE(B1:B21)</f>
        <v>0</v>
      </c>
      <c r="C22">
        <f>AVERAGE(C1:C21)</f>
        <v>20</v>
      </c>
      <c r="D22">
        <f>AVERAGE(D1:D21)</f>
        <v>50</v>
      </c>
      <c r="E22">
        <f>AVERAGE(E1:E21)</f>
        <v>100</v>
      </c>
      <c r="F22">
        <f>AVERAGE(F1:F21)</f>
        <v>50</v>
      </c>
      <c r="G22">
        <f>AVERAGE(G1:G21)</f>
        <v>1423.0283333333332</v>
      </c>
      <c r="H22">
        <f>AVERAGE(H1:H21)</f>
        <v>8.000169987015926E-2</v>
      </c>
      <c r="I22">
        <f>100</f>
        <v>100</v>
      </c>
    </row>
    <row r="23" spans="1:9" x14ac:dyDescent="0.3">
      <c r="A23" t="s">
        <v>9</v>
      </c>
      <c r="B23">
        <f>_xlfn.STDEV.S(B1:B21)</f>
        <v>0</v>
      </c>
      <c r="C23">
        <f>_xlfn.STDEV.S(C1:C21)</f>
        <v>0</v>
      </c>
      <c r="D23">
        <f>_xlfn.STDEV.S(D1:D21)</f>
        <v>0</v>
      </c>
      <c r="E23">
        <f>_xlfn.STDEV.S(E1:E21)</f>
        <v>0</v>
      </c>
      <c r="F23">
        <f>_xlfn.STDEV.S(F1:F21)</f>
        <v>0</v>
      </c>
      <c r="G23">
        <f>_xlfn.STDEV.S(G1:G21)</f>
        <v>529.55595160484881</v>
      </c>
      <c r="H23">
        <f>_xlfn.STDEV.S(H1:H21)</f>
        <v>3.0774217575982869E-2</v>
      </c>
      <c r="I23">
        <f>_xlfn.STDEV.S(I1:I21)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108D-E5BD-42F7-8F22-B8B61AEEFC74}">
  <dimension ref="A1:I23"/>
  <sheetViews>
    <sheetView tabSelected="1" workbookViewId="0">
      <selection activeCell="D33" sqref="D33"/>
    </sheetView>
  </sheetViews>
  <sheetFormatPr defaultRowHeight="14.4" x14ac:dyDescent="0.3"/>
  <cols>
    <col min="2" max="2" width="13" bestFit="1" customWidth="1"/>
    <col min="3" max="3" width="11.5546875" bestFit="1" customWidth="1"/>
    <col min="4" max="4" width="12.6640625" bestFit="1" customWidth="1"/>
    <col min="5" max="5" width="20.109375" bestFit="1" customWidth="1"/>
    <col min="6" max="6" width="13.6640625" bestFit="1" customWidth="1"/>
    <col min="7" max="7" width="16.88671875" bestFit="1" customWidth="1"/>
    <col min="8" max="8" width="16.33203125" bestFit="1" customWidth="1"/>
    <col min="9" max="9" width="23.109375" bestFit="1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3">
      <c r="B2">
        <v>0</v>
      </c>
      <c r="C2">
        <v>50</v>
      </c>
      <c r="D2">
        <v>50</v>
      </c>
      <c r="E2">
        <v>100</v>
      </c>
      <c r="F2">
        <v>50</v>
      </c>
      <c r="G2">
        <v>1464.4666666666667</v>
      </c>
      <c r="H2">
        <v>6.828424454864114E-2</v>
      </c>
      <c r="I2">
        <v>100</v>
      </c>
    </row>
    <row r="3" spans="2:9" x14ac:dyDescent="0.3">
      <c r="B3">
        <v>0</v>
      </c>
      <c r="C3">
        <v>50</v>
      </c>
      <c r="D3">
        <v>50</v>
      </c>
      <c r="E3">
        <v>100</v>
      </c>
      <c r="F3">
        <v>50</v>
      </c>
      <c r="G3">
        <v>1653.2</v>
      </c>
      <c r="H3">
        <v>6.0488749092668763E-2</v>
      </c>
      <c r="I3">
        <v>100</v>
      </c>
    </row>
    <row r="4" spans="2:9" x14ac:dyDescent="0.3">
      <c r="B4">
        <v>0</v>
      </c>
      <c r="C4">
        <v>50</v>
      </c>
      <c r="D4">
        <v>50</v>
      </c>
      <c r="E4">
        <v>100</v>
      </c>
      <c r="F4">
        <v>50</v>
      </c>
      <c r="G4">
        <v>1177.0999999999999</v>
      </c>
      <c r="H4">
        <v>8.4954549316115888E-2</v>
      </c>
      <c r="I4">
        <v>100</v>
      </c>
    </row>
    <row r="5" spans="2:9" x14ac:dyDescent="0.3">
      <c r="B5">
        <v>0</v>
      </c>
      <c r="C5">
        <v>50</v>
      </c>
      <c r="D5">
        <v>50</v>
      </c>
      <c r="E5">
        <v>100</v>
      </c>
      <c r="F5">
        <v>50</v>
      </c>
      <c r="G5">
        <v>721.93333333333328</v>
      </c>
      <c r="H5">
        <v>0.13851694523963431</v>
      </c>
      <c r="I5">
        <v>100</v>
      </c>
    </row>
    <row r="6" spans="2:9" x14ac:dyDescent="0.3">
      <c r="B6">
        <v>0</v>
      </c>
      <c r="C6">
        <v>50</v>
      </c>
      <c r="D6">
        <v>50</v>
      </c>
      <c r="E6">
        <v>100</v>
      </c>
      <c r="F6">
        <v>50</v>
      </c>
      <c r="G6">
        <v>1659.3333333333333</v>
      </c>
      <c r="H6">
        <v>6.0265166733627966E-2</v>
      </c>
      <c r="I6">
        <v>100</v>
      </c>
    </row>
    <row r="7" spans="2:9" x14ac:dyDescent="0.3">
      <c r="B7">
        <v>0</v>
      </c>
      <c r="C7">
        <v>50</v>
      </c>
      <c r="D7">
        <v>50</v>
      </c>
      <c r="E7">
        <v>100</v>
      </c>
      <c r="F7">
        <v>50</v>
      </c>
      <c r="G7">
        <v>819.9</v>
      </c>
      <c r="H7">
        <v>0.12196609342602757</v>
      </c>
      <c r="I7">
        <v>100</v>
      </c>
    </row>
    <row r="8" spans="2:9" x14ac:dyDescent="0.3">
      <c r="B8">
        <v>0</v>
      </c>
      <c r="C8">
        <v>50</v>
      </c>
      <c r="D8">
        <v>50</v>
      </c>
      <c r="E8">
        <v>100</v>
      </c>
      <c r="F8">
        <v>50</v>
      </c>
      <c r="G8">
        <v>948.5333333333333</v>
      </c>
      <c r="H8">
        <v>0.10542592071970762</v>
      </c>
      <c r="I8">
        <v>100</v>
      </c>
    </row>
    <row r="9" spans="2:9" x14ac:dyDescent="0.3">
      <c r="B9">
        <v>0</v>
      </c>
      <c r="C9">
        <v>50</v>
      </c>
      <c r="D9">
        <v>50</v>
      </c>
      <c r="E9">
        <v>100</v>
      </c>
      <c r="F9">
        <v>50</v>
      </c>
      <c r="G9">
        <v>1460.1333333333334</v>
      </c>
      <c r="H9">
        <v>6.84868961738654E-2</v>
      </c>
      <c r="I9">
        <v>100</v>
      </c>
    </row>
    <row r="10" spans="2:9" x14ac:dyDescent="0.3">
      <c r="B10">
        <v>0</v>
      </c>
      <c r="C10">
        <v>50</v>
      </c>
      <c r="D10">
        <v>50</v>
      </c>
      <c r="E10">
        <v>100</v>
      </c>
      <c r="F10">
        <v>50</v>
      </c>
      <c r="G10">
        <v>1427.9666666666667</v>
      </c>
      <c r="H10">
        <v>7.0029645883423988E-2</v>
      </c>
      <c r="I10">
        <v>100</v>
      </c>
    </row>
    <row r="11" spans="2:9" x14ac:dyDescent="0.3">
      <c r="B11">
        <v>0</v>
      </c>
      <c r="C11">
        <v>50</v>
      </c>
      <c r="D11">
        <v>50</v>
      </c>
      <c r="E11">
        <v>100</v>
      </c>
      <c r="F11">
        <v>50</v>
      </c>
      <c r="G11">
        <v>777.56666666666672</v>
      </c>
      <c r="H11">
        <v>0.12860633600548718</v>
      </c>
      <c r="I11">
        <v>100</v>
      </c>
    </row>
    <row r="12" spans="2:9" x14ac:dyDescent="0.3">
      <c r="B12">
        <v>0</v>
      </c>
      <c r="C12">
        <v>50</v>
      </c>
      <c r="D12">
        <v>50</v>
      </c>
      <c r="E12">
        <v>100</v>
      </c>
      <c r="F12">
        <v>50</v>
      </c>
      <c r="G12">
        <v>687.8</v>
      </c>
      <c r="H12">
        <v>0.14539110206455366</v>
      </c>
      <c r="I12">
        <v>100</v>
      </c>
    </row>
    <row r="13" spans="2:9" x14ac:dyDescent="0.3">
      <c r="B13">
        <v>0</v>
      </c>
      <c r="C13">
        <v>50</v>
      </c>
      <c r="D13">
        <v>50</v>
      </c>
      <c r="E13">
        <v>100</v>
      </c>
      <c r="F13">
        <v>50</v>
      </c>
      <c r="G13">
        <v>728.9</v>
      </c>
      <c r="H13">
        <v>0.13719303059404583</v>
      </c>
      <c r="I13">
        <v>100</v>
      </c>
    </row>
    <row r="14" spans="2:9" x14ac:dyDescent="0.3">
      <c r="B14">
        <v>0</v>
      </c>
      <c r="C14">
        <v>50</v>
      </c>
      <c r="D14">
        <v>50</v>
      </c>
      <c r="E14">
        <v>100</v>
      </c>
      <c r="F14">
        <v>50</v>
      </c>
      <c r="G14">
        <v>813.9666666666667</v>
      </c>
      <c r="H14">
        <v>0.12285515377370081</v>
      </c>
      <c r="I14">
        <v>100</v>
      </c>
    </row>
    <row r="15" spans="2:9" x14ac:dyDescent="0.3">
      <c r="B15">
        <v>0</v>
      </c>
      <c r="C15">
        <v>50</v>
      </c>
      <c r="D15">
        <v>50</v>
      </c>
      <c r="E15">
        <v>100</v>
      </c>
      <c r="F15">
        <v>50</v>
      </c>
      <c r="G15">
        <v>1245.3666666666666</v>
      </c>
      <c r="H15">
        <v>8.0297636572896874E-2</v>
      </c>
      <c r="I15">
        <v>100</v>
      </c>
    </row>
    <row r="16" spans="2:9" x14ac:dyDescent="0.3">
      <c r="B16">
        <v>0</v>
      </c>
      <c r="C16">
        <v>50</v>
      </c>
      <c r="D16">
        <v>50</v>
      </c>
      <c r="E16">
        <v>100</v>
      </c>
      <c r="F16">
        <v>50</v>
      </c>
      <c r="G16">
        <v>1252.7666666666667</v>
      </c>
      <c r="H16">
        <v>7.982332437538249E-2</v>
      </c>
      <c r="I16">
        <v>100</v>
      </c>
    </row>
    <row r="17" spans="1:9" x14ac:dyDescent="0.3">
      <c r="B17">
        <v>0</v>
      </c>
      <c r="C17">
        <v>50</v>
      </c>
      <c r="D17">
        <v>50</v>
      </c>
      <c r="E17">
        <v>100</v>
      </c>
      <c r="F17">
        <v>50</v>
      </c>
      <c r="G17">
        <v>962.36666666666667</v>
      </c>
      <c r="H17">
        <v>0.10391049842402411</v>
      </c>
      <c r="I17">
        <v>100</v>
      </c>
    </row>
    <row r="18" spans="1:9" x14ac:dyDescent="0.3">
      <c r="B18">
        <v>0</v>
      </c>
      <c r="C18">
        <v>50</v>
      </c>
      <c r="D18">
        <v>50</v>
      </c>
      <c r="E18">
        <v>100</v>
      </c>
      <c r="F18">
        <v>50</v>
      </c>
      <c r="G18">
        <v>859.83333333333337</v>
      </c>
      <c r="H18">
        <v>0.11630160883892227</v>
      </c>
      <c r="I18">
        <v>100</v>
      </c>
    </row>
    <row r="19" spans="1:9" x14ac:dyDescent="0.3">
      <c r="B19">
        <v>0</v>
      </c>
      <c r="C19">
        <v>50</v>
      </c>
      <c r="D19">
        <v>50</v>
      </c>
      <c r="E19">
        <v>100</v>
      </c>
      <c r="F19">
        <v>50</v>
      </c>
      <c r="G19">
        <v>1049.4666666666667</v>
      </c>
      <c r="H19">
        <v>9.5286494727480617E-2</v>
      </c>
      <c r="I19">
        <v>100</v>
      </c>
    </row>
    <row r="20" spans="1:9" x14ac:dyDescent="0.3">
      <c r="B20">
        <v>0</v>
      </c>
      <c r="C20">
        <v>50</v>
      </c>
      <c r="D20">
        <v>50</v>
      </c>
      <c r="E20">
        <v>100</v>
      </c>
      <c r="F20">
        <v>50</v>
      </c>
      <c r="G20">
        <v>487.86666666666667</v>
      </c>
      <c r="H20">
        <v>0.20497403662202787</v>
      </c>
      <c r="I20">
        <v>100</v>
      </c>
    </row>
    <row r="21" spans="1:9" x14ac:dyDescent="0.3">
      <c r="B21">
        <v>0</v>
      </c>
      <c r="C21">
        <v>50</v>
      </c>
      <c r="D21">
        <v>50</v>
      </c>
      <c r="E21">
        <v>100</v>
      </c>
      <c r="F21">
        <v>50</v>
      </c>
      <c r="G21">
        <v>536.9666666666667</v>
      </c>
      <c r="H21">
        <v>0.18623129927369791</v>
      </c>
      <c r="I21">
        <v>100</v>
      </c>
    </row>
    <row r="22" spans="1:9" x14ac:dyDescent="0.3">
      <c r="A22" t="s">
        <v>8</v>
      </c>
      <c r="B22">
        <f>AVERAGE(B1:B21)</f>
        <v>0</v>
      </c>
      <c r="C22">
        <f>SUBTOTAL(101,noise_50_summary[Noise STD])</f>
        <v>50</v>
      </c>
      <c r="D22">
        <f>SUBTOTAL(101,noise_50_summary[Swarm Size])</f>
        <v>50</v>
      </c>
      <c r="E22">
        <f>SUBTOTAL(101,noise_50_summary[Resources Collected])</f>
        <v>100</v>
      </c>
      <c r="F22">
        <f>SUBTOTAL(101,noise_50_summary[Alive Robots])</f>
        <v>50</v>
      </c>
      <c r="G22">
        <f>SUBTOTAL(101,noise_50_summary[Simulation Time])</f>
        <v>1036.7716666666665</v>
      </c>
      <c r="H22">
        <f>SUBTOTAL(101,noise_50_summary[Collection  Rate])</f>
        <v>0.10896443662029662</v>
      </c>
      <c r="I22">
        <f>SUBTOTAL(101,noise_50_summary[Completion Percentage])</f>
        <v>100</v>
      </c>
    </row>
    <row r="23" spans="1:9" x14ac:dyDescent="0.3">
      <c r="A23" t="s">
        <v>9</v>
      </c>
      <c r="B23">
        <f>_xlfn.STDEV.S(B1:B21)</f>
        <v>0</v>
      </c>
      <c r="C23">
        <f>_xlfn.STDEV.S(C1:C21)</f>
        <v>0</v>
      </c>
      <c r="D23">
        <f>_xlfn.STDEV.S(D1:D21)</f>
        <v>0</v>
      </c>
      <c r="E23">
        <f>_xlfn.STDEV.S(E1:E21)</f>
        <v>0</v>
      </c>
      <c r="F23">
        <f>_xlfn.STDEV.S(F1:F21)</f>
        <v>0</v>
      </c>
      <c r="G23">
        <f>_xlfn.STDEV.S(G1:G21)</f>
        <v>360.41354030081055</v>
      </c>
      <c r="H23">
        <f>_xlfn.STDEV.S(H1:H21)</f>
        <v>4.0386360014190215E-2</v>
      </c>
      <c r="I23">
        <f>_xlfn.STDEV.S(I1:I21)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B656-6C6E-47C7-A87E-284860C95792}">
  <dimension ref="A1:I23"/>
  <sheetViews>
    <sheetView tabSelected="1" workbookViewId="0">
      <selection activeCell="D33" sqref="D33"/>
    </sheetView>
  </sheetViews>
  <sheetFormatPr defaultRowHeight="14.4" x14ac:dyDescent="0.3"/>
  <cols>
    <col min="2" max="2" width="13" bestFit="1" customWidth="1"/>
    <col min="3" max="3" width="11.5546875" bestFit="1" customWidth="1"/>
    <col min="4" max="4" width="12.6640625" bestFit="1" customWidth="1"/>
    <col min="5" max="5" width="20.109375" bestFit="1" customWidth="1"/>
    <col min="6" max="6" width="13.6640625" bestFit="1" customWidth="1"/>
    <col min="7" max="7" width="16.88671875" bestFit="1" customWidth="1"/>
    <col min="8" max="8" width="16.33203125" bestFit="1" customWidth="1"/>
    <col min="9" max="9" width="23.109375" bestFit="1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3">
      <c r="B2">
        <v>0</v>
      </c>
      <c r="C2">
        <v>100</v>
      </c>
      <c r="D2">
        <v>50</v>
      </c>
      <c r="E2">
        <v>100</v>
      </c>
      <c r="F2">
        <v>50</v>
      </c>
      <c r="G2">
        <v>1316.9666666666667</v>
      </c>
      <c r="H2">
        <v>7.5932066111518898E-2</v>
      </c>
      <c r="I2">
        <v>100</v>
      </c>
    </row>
    <row r="3" spans="2:9" x14ac:dyDescent="0.3">
      <c r="B3">
        <v>0</v>
      </c>
      <c r="C3">
        <v>100</v>
      </c>
      <c r="D3">
        <v>50</v>
      </c>
      <c r="E3">
        <v>100</v>
      </c>
      <c r="F3">
        <v>50</v>
      </c>
      <c r="G3">
        <v>1672.4666666666667</v>
      </c>
      <c r="H3">
        <v>5.9791924104117669E-2</v>
      </c>
      <c r="I3">
        <v>100</v>
      </c>
    </row>
    <row r="4" spans="2:9" x14ac:dyDescent="0.3">
      <c r="B4">
        <v>0</v>
      </c>
      <c r="C4">
        <v>100</v>
      </c>
      <c r="D4">
        <v>50</v>
      </c>
      <c r="E4">
        <v>100</v>
      </c>
      <c r="F4">
        <v>50</v>
      </c>
      <c r="G4">
        <v>755.1</v>
      </c>
      <c r="H4">
        <v>0.13243279035889285</v>
      </c>
      <c r="I4">
        <v>100</v>
      </c>
    </row>
    <row r="5" spans="2:9" x14ac:dyDescent="0.3">
      <c r="B5">
        <v>0</v>
      </c>
      <c r="C5">
        <v>100</v>
      </c>
      <c r="D5">
        <v>50</v>
      </c>
      <c r="E5">
        <v>100</v>
      </c>
      <c r="F5">
        <v>50</v>
      </c>
      <c r="G5">
        <v>734.26666666666665</v>
      </c>
      <c r="H5">
        <v>0.13619030325040857</v>
      </c>
      <c r="I5">
        <v>100</v>
      </c>
    </row>
    <row r="6" spans="2:9" x14ac:dyDescent="0.3">
      <c r="B6">
        <v>0</v>
      </c>
      <c r="C6">
        <v>100</v>
      </c>
      <c r="D6">
        <v>50</v>
      </c>
      <c r="E6">
        <v>100</v>
      </c>
      <c r="F6">
        <v>50</v>
      </c>
      <c r="G6">
        <v>1223.5</v>
      </c>
      <c r="H6">
        <v>8.1732733959950954E-2</v>
      </c>
      <c r="I6">
        <v>100</v>
      </c>
    </row>
    <row r="7" spans="2:9" x14ac:dyDescent="0.3">
      <c r="B7">
        <v>0</v>
      </c>
      <c r="C7">
        <v>100</v>
      </c>
      <c r="D7">
        <v>50</v>
      </c>
      <c r="E7">
        <v>100</v>
      </c>
      <c r="F7">
        <v>50</v>
      </c>
      <c r="G7">
        <v>1662.3666666666666</v>
      </c>
      <c r="H7">
        <v>6.015520041707606E-2</v>
      </c>
      <c r="I7">
        <v>100</v>
      </c>
    </row>
    <row r="8" spans="2:9" x14ac:dyDescent="0.3">
      <c r="B8">
        <v>0</v>
      </c>
      <c r="C8">
        <v>100</v>
      </c>
      <c r="D8">
        <v>50</v>
      </c>
      <c r="E8">
        <v>100</v>
      </c>
      <c r="F8">
        <v>50</v>
      </c>
      <c r="G8">
        <v>1588.6</v>
      </c>
      <c r="H8">
        <v>6.2948508120357557E-2</v>
      </c>
      <c r="I8">
        <v>100</v>
      </c>
    </row>
    <row r="9" spans="2:9" x14ac:dyDescent="0.3">
      <c r="B9">
        <v>0</v>
      </c>
      <c r="C9">
        <v>100</v>
      </c>
      <c r="D9">
        <v>50</v>
      </c>
      <c r="E9">
        <v>100</v>
      </c>
      <c r="F9">
        <v>50</v>
      </c>
      <c r="G9">
        <v>1185.0333333333333</v>
      </c>
      <c r="H9">
        <v>8.4385811932153804E-2</v>
      </c>
      <c r="I9">
        <v>100</v>
      </c>
    </row>
    <row r="10" spans="2:9" x14ac:dyDescent="0.3">
      <c r="B10">
        <v>0</v>
      </c>
      <c r="C10">
        <v>100</v>
      </c>
      <c r="D10">
        <v>50</v>
      </c>
      <c r="E10">
        <v>100</v>
      </c>
      <c r="F10">
        <v>50</v>
      </c>
      <c r="G10">
        <v>933.16666666666663</v>
      </c>
      <c r="H10">
        <v>0.10716199321307376</v>
      </c>
      <c r="I10">
        <v>100</v>
      </c>
    </row>
    <row r="11" spans="2:9" x14ac:dyDescent="0.3">
      <c r="B11">
        <v>0</v>
      </c>
      <c r="C11">
        <v>100</v>
      </c>
      <c r="D11">
        <v>50</v>
      </c>
      <c r="E11">
        <v>100</v>
      </c>
      <c r="F11">
        <v>50</v>
      </c>
      <c r="G11">
        <v>1672.8</v>
      </c>
      <c r="H11">
        <v>5.9780009564801534E-2</v>
      </c>
      <c r="I11">
        <v>100</v>
      </c>
    </row>
    <row r="12" spans="2:9" x14ac:dyDescent="0.3">
      <c r="B12">
        <v>0</v>
      </c>
      <c r="C12">
        <v>100</v>
      </c>
      <c r="D12">
        <v>50</v>
      </c>
      <c r="E12">
        <v>100</v>
      </c>
      <c r="F12">
        <v>50</v>
      </c>
      <c r="G12">
        <v>857.2</v>
      </c>
      <c r="H12">
        <v>0.11665888940737283</v>
      </c>
      <c r="I12">
        <v>100</v>
      </c>
    </row>
    <row r="13" spans="2:9" x14ac:dyDescent="0.3">
      <c r="B13">
        <v>0</v>
      </c>
      <c r="C13">
        <v>100</v>
      </c>
      <c r="D13">
        <v>50</v>
      </c>
      <c r="E13">
        <v>100</v>
      </c>
      <c r="F13">
        <v>50</v>
      </c>
      <c r="G13">
        <v>883.56666666666672</v>
      </c>
      <c r="H13">
        <v>0.11317765118647903</v>
      </c>
      <c r="I13">
        <v>100</v>
      </c>
    </row>
    <row r="14" spans="2:9" x14ac:dyDescent="0.3">
      <c r="B14">
        <v>0</v>
      </c>
      <c r="C14">
        <v>100</v>
      </c>
      <c r="D14">
        <v>50</v>
      </c>
      <c r="E14">
        <v>100</v>
      </c>
      <c r="F14">
        <v>50</v>
      </c>
      <c r="G14">
        <v>1023.9333333333333</v>
      </c>
      <c r="H14">
        <v>9.7662608242724144E-2</v>
      </c>
      <c r="I14">
        <v>100</v>
      </c>
    </row>
    <row r="15" spans="2:9" x14ac:dyDescent="0.3">
      <c r="B15">
        <v>0</v>
      </c>
      <c r="C15">
        <v>100</v>
      </c>
      <c r="D15">
        <v>50</v>
      </c>
      <c r="E15">
        <v>100</v>
      </c>
      <c r="F15">
        <v>50</v>
      </c>
      <c r="G15">
        <v>1104.5</v>
      </c>
      <c r="H15">
        <v>9.0538705296514255E-2</v>
      </c>
      <c r="I15">
        <v>100</v>
      </c>
    </row>
    <row r="16" spans="2:9" x14ac:dyDescent="0.3">
      <c r="B16">
        <v>0</v>
      </c>
      <c r="C16">
        <v>100</v>
      </c>
      <c r="D16">
        <v>50</v>
      </c>
      <c r="E16">
        <v>100</v>
      </c>
      <c r="F16">
        <v>50</v>
      </c>
      <c r="G16">
        <v>2318.1999999999998</v>
      </c>
      <c r="H16">
        <v>4.313691657320335E-2</v>
      </c>
      <c r="I16">
        <v>100</v>
      </c>
    </row>
    <row r="17" spans="1:9" x14ac:dyDescent="0.3">
      <c r="B17">
        <v>0</v>
      </c>
      <c r="C17">
        <v>100</v>
      </c>
      <c r="D17">
        <v>50</v>
      </c>
      <c r="E17">
        <v>100</v>
      </c>
      <c r="F17">
        <v>50</v>
      </c>
      <c r="G17">
        <v>1404.7666666666667</v>
      </c>
      <c r="H17">
        <v>7.1186199368815706E-2</v>
      </c>
      <c r="I17">
        <v>100</v>
      </c>
    </row>
    <row r="18" spans="1:9" x14ac:dyDescent="0.3">
      <c r="B18">
        <v>0</v>
      </c>
      <c r="C18">
        <v>100</v>
      </c>
      <c r="D18">
        <v>50</v>
      </c>
      <c r="E18">
        <v>100</v>
      </c>
      <c r="F18">
        <v>50</v>
      </c>
      <c r="G18">
        <v>1097.5666666666666</v>
      </c>
      <c r="H18">
        <v>9.1110638685577186E-2</v>
      </c>
      <c r="I18">
        <v>100</v>
      </c>
    </row>
    <row r="19" spans="1:9" x14ac:dyDescent="0.3">
      <c r="B19">
        <v>0</v>
      </c>
      <c r="C19">
        <v>100</v>
      </c>
      <c r="D19">
        <v>50</v>
      </c>
      <c r="E19">
        <v>100</v>
      </c>
      <c r="F19">
        <v>50</v>
      </c>
      <c r="G19">
        <v>776.83333333333337</v>
      </c>
      <c r="H19">
        <v>0.12872774082814845</v>
      </c>
      <c r="I19">
        <v>100</v>
      </c>
    </row>
    <row r="20" spans="1:9" x14ac:dyDescent="0.3">
      <c r="B20">
        <v>0</v>
      </c>
      <c r="C20">
        <v>100</v>
      </c>
      <c r="D20">
        <v>50</v>
      </c>
      <c r="E20">
        <v>100</v>
      </c>
      <c r="F20">
        <v>50</v>
      </c>
      <c r="G20">
        <v>1092.6333333333334</v>
      </c>
      <c r="H20">
        <v>9.1522011043655996E-2</v>
      </c>
      <c r="I20">
        <v>100</v>
      </c>
    </row>
    <row r="21" spans="1:9" x14ac:dyDescent="0.3">
      <c r="B21">
        <v>0</v>
      </c>
      <c r="C21">
        <v>100</v>
      </c>
      <c r="D21">
        <v>50</v>
      </c>
      <c r="E21">
        <v>100</v>
      </c>
      <c r="F21">
        <v>50</v>
      </c>
      <c r="G21">
        <v>964.5</v>
      </c>
      <c r="H21">
        <v>0.10368066355624676</v>
      </c>
      <c r="I21">
        <v>100</v>
      </c>
    </row>
    <row r="22" spans="1:9" x14ac:dyDescent="0.3">
      <c r="A22" t="s">
        <v>8</v>
      </c>
      <c r="B22">
        <f>AVERAGE(B1:B21)</f>
        <v>0</v>
      </c>
      <c r="C22">
        <f>100</f>
        <v>100</v>
      </c>
      <c r="D22">
        <f>50</f>
        <v>50</v>
      </c>
      <c r="E22">
        <f>100</f>
        <v>100</v>
      </c>
      <c r="F22">
        <f>50</f>
        <v>50</v>
      </c>
      <c r="G22">
        <f>AVERAGE(G1:G21)</f>
        <v>1213.3983333333333</v>
      </c>
      <c r="H22">
        <f>AVERAGE(H1:H21)</f>
        <v>9.0395668261054468E-2</v>
      </c>
      <c r="I22">
        <f>100</f>
        <v>100</v>
      </c>
    </row>
    <row r="23" spans="1:9" x14ac:dyDescent="0.3">
      <c r="A23" t="s">
        <v>9</v>
      </c>
      <c r="B23">
        <f>_xlfn.STDEV.S(B1:B21)</f>
        <v>0</v>
      </c>
      <c r="C23">
        <v>0</v>
      </c>
      <c r="D23">
        <v>0</v>
      </c>
      <c r="E23">
        <v>0</v>
      </c>
      <c r="F23">
        <v>0</v>
      </c>
      <c r="G23">
        <f>_xlfn.STDEV.S(G1:G21)</f>
        <v>404.90940615162077</v>
      </c>
      <c r="H23">
        <f>_xlfn.STDEV.S(H1:H21)</f>
        <v>2.6674544451305349E-2</v>
      </c>
      <c r="I2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D401-1F8E-4BD0-A284-DDBF39D2C9E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C762F7-1A52-4C19-A3C1-6128B9C2B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20px_summary</vt:lpstr>
      <vt:lpstr>noise_50_summary</vt:lpstr>
      <vt:lpstr>noise_100_summary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Jha</dc:creator>
  <cp:lastModifiedBy>Piyush Jha</cp:lastModifiedBy>
  <dcterms:created xsi:type="dcterms:W3CDTF">2026-06-27T13:54:53Z</dcterms:created>
  <dcterms:modified xsi:type="dcterms:W3CDTF">2026-06-27T14:05:36Z</dcterms:modified>
</cp:coreProperties>
</file>