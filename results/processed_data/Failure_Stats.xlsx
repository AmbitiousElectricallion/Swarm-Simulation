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ocuments\SWARM SIMULATION CONTENT (NOT CODING FILES)\Experiment Data\Processed Data\Failure_Proc\"/>
    </mc:Choice>
  </mc:AlternateContent>
  <xr:revisionPtr revIDLastSave="0" documentId="13_ncr:1_{330A842E-A0B3-4653-905F-BF71080C5D87}" xr6:coauthVersionLast="47" xr6:coauthVersionMax="47" xr10:uidLastSave="{00000000-0000-0000-0000-000000000000}"/>
  <bookViews>
    <workbookView xWindow="-108" yWindow="-108" windowWidth="23256" windowHeight="13896" xr2:uid="{701F7B86-91FB-4039-828C-8753DDA7B982}"/>
  </bookViews>
  <sheets>
    <sheet name="failure_0 05_summary" sheetId="3" r:id="rId1"/>
    <sheet name="failure_0 005_summary" sheetId="5" r:id="rId2"/>
    <sheet name="failure_0 02_summary" sheetId="2" r:id="rId3"/>
  </sheets>
  <definedNames>
    <definedName name="ExternalData_1" localSheetId="1" hidden="1">'failure_0 005_summary'!$B$1:$I$22</definedName>
    <definedName name="ExternalData_1" localSheetId="2" hidden="1">'failure_0 02_summary'!$B$1:$I$21</definedName>
    <definedName name="ExternalData_2" localSheetId="0" hidden="1">'failure_0 05_summary'!$B$1:$I$21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5" l="1"/>
  <c r="H22" i="5"/>
  <c r="G22" i="5"/>
  <c r="F22" i="5"/>
  <c r="E22" i="5"/>
  <c r="E22" i="2"/>
  <c r="H23" i="5"/>
  <c r="G23" i="5"/>
  <c r="F23" i="5"/>
  <c r="E23" i="5"/>
  <c r="D23" i="5"/>
  <c r="C23" i="5"/>
  <c r="I23" i="3"/>
  <c r="H23" i="3"/>
  <c r="G23" i="3"/>
  <c r="F23" i="3"/>
  <c r="E23" i="3"/>
  <c r="D23" i="3"/>
  <c r="C23" i="3"/>
  <c r="C23" i="2"/>
  <c r="I22" i="3"/>
  <c r="H22" i="3"/>
  <c r="G22" i="3"/>
  <c r="F22" i="3"/>
  <c r="E22" i="3"/>
  <c r="D22" i="3"/>
  <c r="C22" i="3"/>
  <c r="B22" i="3"/>
  <c r="I23" i="2"/>
  <c r="H23" i="2"/>
  <c r="G23" i="2"/>
  <c r="F23" i="2"/>
  <c r="E23" i="2"/>
  <c r="D23" i="2"/>
  <c r="I22" i="2"/>
  <c r="H22" i="2"/>
  <c r="G22" i="2"/>
  <c r="F22" i="2"/>
  <c r="D22" i="2"/>
  <c r="C22" i="2"/>
  <c r="I23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D6E2F8-F219-4247-B543-B51EF2E26407}" keepAlive="1" name="Query - failure_0 005_summary" description="Connection to the 'failure_0 005_summary' query in the workbook." type="5" refreshedVersion="8" background="1" saveData="1">
    <dbPr connection="Provider=Microsoft.Mashup.OleDb.1;Data Source=$Workbook$;Location=&quot;failure_0 005_summary&quot;;Extended Properties=&quot;&quot;" command="SELECT * FROM [failure_0 005_summary]"/>
  </connection>
  <connection id="2" xr16:uid="{F5DA80F3-8BFF-4D74-B76E-D7E629615109}" keepAlive="1" name="Query - failure_0 02_summary" description="Connection to the 'failure_0 02_summary' query in the workbook." type="5" refreshedVersion="8" background="1" saveData="1">
    <dbPr connection="Provider=Microsoft.Mashup.OleDb.1;Data Source=$Workbook$;Location=&quot;failure_0 02_summary&quot;;Extended Properties=&quot;&quot;" command="SELECT * FROM [failure_0 02_summary]"/>
  </connection>
  <connection id="3" xr16:uid="{E4832A47-025F-48F9-A0FD-FA988D2BFA96}" keepAlive="1" name="Query - failure_0 05_summary" description="Connection to the 'failure_0 05_summary' query in the workbook." type="5" refreshedVersion="8" background="1" saveData="1">
    <dbPr connection="Provider=Microsoft.Mashup.OleDb.1;Data Source=$Workbook$;Location=&quot;failure_0 05_summary&quot;;Extended Properties=&quot;&quot;" command="SELECT * FROM [failure_0 05_summary]"/>
  </connection>
</connections>
</file>

<file path=xl/sharedStrings.xml><?xml version="1.0" encoding="utf-8"?>
<sst xmlns="http://schemas.openxmlformats.org/spreadsheetml/2006/main" count="30" uniqueCount="10">
  <si>
    <t>Failure Rate</t>
  </si>
  <si>
    <t>Noise STD</t>
  </si>
  <si>
    <t>Swarm Size</t>
  </si>
  <si>
    <t>Resources Collected</t>
  </si>
  <si>
    <t>Alive Robots</t>
  </si>
  <si>
    <t>Simulation Time</t>
  </si>
  <si>
    <t>Collection  Rate</t>
  </si>
  <si>
    <t>Completion Percentage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</si>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</sst>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6EBBF50-6F19-4773-B1B8-75FF76CFDA63}" autoFormatId="16" applyNumberFormats="0" applyBorderFormats="0" applyFontFormats="0" applyPatternFormats="0" applyAlignmentFormats="0" applyWidthHeightFormats="0">
  <queryTableRefresh nextId="9">
    <queryTableFields count="8">
      <queryTableField id="1" name="Failure Rate" tableColumnId="1"/>
      <queryTableField id="2" name="Noise STD" tableColumnId="2"/>
      <queryTableField id="3" name="Swarm Size" tableColumnId="3"/>
      <queryTableField id="4" name="Resources Collected" tableColumnId="4"/>
      <queryTableField id="5" name="Alive Robots" tableColumnId="5"/>
      <queryTableField id="6" name="Simulation Time" tableColumnId="6"/>
      <queryTableField id="7" name="Collection  Rate" tableColumnId="7"/>
      <queryTableField id="8" name="Completion Percentag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014DB7-4721-44E1-AD0C-8742034FB8A3}" autoFormatId="16" applyNumberFormats="0" applyBorderFormats="0" applyFontFormats="0" applyPatternFormats="0" applyAlignmentFormats="0" applyWidthHeightFormats="0">
  <queryTableRefresh nextId="9">
    <queryTableFields count="8">
      <queryTableField id="1" name="Failure Rate" tableColumnId="1"/>
      <queryTableField id="2" name="Noise STD" tableColumnId="2"/>
      <queryTableField id="3" name="Swarm Size" tableColumnId="3"/>
      <queryTableField id="4" name="Resources Collected" tableColumnId="4"/>
      <queryTableField id="5" name="Alive Robots" tableColumnId="5"/>
      <queryTableField id="6" name="Simulation Time" tableColumnId="6"/>
      <queryTableField id="7" name="Collection  Rate" tableColumnId="7"/>
      <queryTableField id="8" name="Completion Percentag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1EFCE15-A61B-4386-B927-7414DF643694}" autoFormatId="16" applyNumberFormats="0" applyBorderFormats="0" applyFontFormats="0" applyPatternFormats="0" applyAlignmentFormats="0" applyWidthHeightFormats="0">
  <queryTableRefresh nextId="9">
    <queryTableFields count="8">
      <queryTableField id="1" name="Failure Rate" tableColumnId="1"/>
      <queryTableField id="2" name="Noise STD" tableColumnId="2"/>
      <queryTableField id="3" name="Swarm Size" tableColumnId="3"/>
      <queryTableField id="4" name="Resources Collected" tableColumnId="4"/>
      <queryTableField id="5" name="Alive Robots" tableColumnId="5"/>
      <queryTableField id="6" name="Simulation Time" tableColumnId="6"/>
      <queryTableField id="7" name="Collection  Rate" tableColumnId="7"/>
      <queryTableField id="8" name="Completion Percentag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280A8C-88DA-4E31-9A0B-3A4AC9EFE2BF}" name="failure_0_05_summary" displayName="failure_0_05_summary" ref="B1:I22" tableType="queryTable" totalsRowCount="1">
  <autoFilter ref="B1:I21" xr:uid="{27280A8C-88DA-4E31-9A0B-3A4AC9EFE2BF}"/>
  <tableColumns count="8">
    <tableColumn id="1" xr3:uid="{27B95C34-FBC5-480E-A23F-F8832ACAC7A7}" uniqueName="1" name="Failure Rate" totalsRowFunction="custom" queryTableFieldId="1">
      <totalsRowFormula>AVERAGE(B1:B21)</totalsRowFormula>
    </tableColumn>
    <tableColumn id="2" xr3:uid="{18FD5444-A63E-4DFA-BD3D-820085F284F2}" uniqueName="2" name="Noise STD" totalsRowFunction="custom" queryTableFieldId="2">
      <totalsRowFormula>AVERAGE(C1:C21)</totalsRowFormula>
    </tableColumn>
    <tableColumn id="3" xr3:uid="{3DF3D39F-659D-4C0C-9EAE-31F4EF9E27F3}" uniqueName="3" name="Swarm Size" totalsRowFunction="custom" queryTableFieldId="3">
      <totalsRowFormula>AVERAGE(D1:D21)</totalsRowFormula>
    </tableColumn>
    <tableColumn id="4" xr3:uid="{9672B61C-3ACA-41B8-9BB1-5F4F6B78FCCF}" uniqueName="4" name="Resources Collected" totalsRowFunction="custom" queryTableFieldId="4">
      <totalsRowFormula>AVERAGE(E1:E21)</totalsRowFormula>
    </tableColumn>
    <tableColumn id="5" xr3:uid="{1BB48D04-095B-41F6-BAD8-EDC16E606E09}" uniqueName="5" name="Alive Robots" totalsRowFunction="custom" queryTableFieldId="5">
      <totalsRowFormula>AVERAGE(F1:F21)</totalsRowFormula>
    </tableColumn>
    <tableColumn id="6" xr3:uid="{61B6E9E8-EBDF-4192-B069-53085BDB0CBA}" uniqueName="6" name="Simulation Time" totalsRowFunction="custom" queryTableFieldId="6">
      <totalsRowFormula>AVERAGE(G1:G21)</totalsRowFormula>
    </tableColumn>
    <tableColumn id="7" xr3:uid="{75E21CCA-5C53-41CC-97A1-F1F7604E41A9}" uniqueName="7" name="Collection  Rate" totalsRowFunction="custom" queryTableFieldId="7">
      <totalsRowFormula>AVERAGE(H1:H21)</totalsRowFormula>
    </tableColumn>
    <tableColumn id="8" xr3:uid="{9F27E038-9730-44B1-8586-A4EE9C1BCD71}" uniqueName="8" name="Completion Percentage" totalsRowFunction="custom" queryTableFieldId="8">
      <totalsRowFormula>AVERAGE(I1:I21)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A84E2-7D6C-4CAA-9670-1A9549470C77}" name="failure_0_005_summary" displayName="failure_0_005_summary" ref="B1:I22" tableType="queryTable" totalsRowShown="0">
  <autoFilter ref="B1:I22" xr:uid="{F40A84E2-7D6C-4CAA-9670-1A9549470C77}"/>
  <tableColumns count="8">
    <tableColumn id="1" xr3:uid="{6829D261-5DD6-45D4-B648-13CD20C0872C}" uniqueName="1" name="Failure Rate" queryTableFieldId="1"/>
    <tableColumn id="2" xr3:uid="{88242175-3D78-4D46-AD68-ADB48073E228}" uniqueName="2" name="Noise STD" queryTableFieldId="2"/>
    <tableColumn id="3" xr3:uid="{455DFB54-31C6-4D7E-9A33-C09751FF1645}" uniqueName="3" name="Swarm Size" queryTableFieldId="3"/>
    <tableColumn id="4" xr3:uid="{3D919204-93C6-47C8-92BF-FBAF8FA74785}" uniqueName="4" name="Resources Collected" queryTableFieldId="4"/>
    <tableColumn id="5" xr3:uid="{DA3129BA-0EE5-4DA9-B95E-1EE11B2921C3}" uniqueName="5" name="Alive Robots" queryTableFieldId="5"/>
    <tableColumn id="6" xr3:uid="{9A535F9C-8F3B-4679-97CE-4E061191DD67}" uniqueName="6" name="Simulation Time" queryTableFieldId="6"/>
    <tableColumn id="7" xr3:uid="{630F552F-99C5-4F09-997D-ACCB8AE03CEB}" uniqueName="7" name="Collection  Rate" queryTableFieldId="7"/>
    <tableColumn id="8" xr3:uid="{AABA94F7-5845-4625-884E-A773343043BC}" uniqueName="8" name="Completion Percentag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735730-9015-45D7-ADD8-B6D38D5E9165}" name="failure_0_02_summary" displayName="failure_0_02_summary" ref="B1:I22" tableType="queryTable" totalsRowCount="1">
  <autoFilter ref="B1:I21" xr:uid="{91735730-9015-45D7-ADD8-B6D38D5E9165}"/>
  <tableColumns count="8">
    <tableColumn id="1" xr3:uid="{86ED5773-6C11-423C-9217-B9B9C31A70C0}" uniqueName="1" name="Failure Rate" queryTableFieldId="1"/>
    <tableColumn id="2" xr3:uid="{AF5B87FC-D212-4F83-8035-89AAE068FC81}" uniqueName="2" name="Noise STD" totalsRowFunction="custom" queryTableFieldId="2">
      <totalsRowFormula>AVERAGE(C1:C21)</totalsRowFormula>
    </tableColumn>
    <tableColumn id="3" xr3:uid="{6A1CDA5A-B104-401B-A9CF-FBC1D7C57465}" uniqueName="3" name="Swarm Size" totalsRowFunction="custom" queryTableFieldId="3">
      <totalsRowFormula>AVERAGE(D1:D21)</totalsRowFormula>
    </tableColumn>
    <tableColumn id="4" xr3:uid="{DA1BAF76-1F06-4A2E-837D-31E5EC395D33}" uniqueName="4" name="Resources Collected" totalsRowFunction="custom" queryTableFieldId="4">
      <totalsRowFormula>AVERAGE(E1:E21)</totalsRowFormula>
    </tableColumn>
    <tableColumn id="5" xr3:uid="{63F1487F-EBF5-4DE8-95E6-B92CD46E4296}" uniqueName="5" name="Alive Robots" totalsRowFunction="custom" queryTableFieldId="5">
      <totalsRowFormula>AVERAGE(F1:F21)</totalsRowFormula>
    </tableColumn>
    <tableColumn id="6" xr3:uid="{06CE4AE2-62FD-494F-9B7F-2AFBF9AC49E2}" uniqueName="6" name="Simulation Time" totalsRowFunction="custom" queryTableFieldId="6">
      <totalsRowFormula>AVERAGE(G1:G21)</totalsRowFormula>
    </tableColumn>
    <tableColumn id="7" xr3:uid="{63B1F873-DE88-44D1-88F6-7C3C26E05E28}" uniqueName="7" name="Collection  Rate" totalsRowFunction="custom" queryTableFieldId="7">
      <totalsRowFormula>AVERAGE(H1:H21)</totalsRowFormula>
    </tableColumn>
    <tableColumn id="8" xr3:uid="{1D852FB0-CDB1-4D49-A648-C1C619911C79}" uniqueName="8" name="Completion Percentage" totalsRowFunction="custom" queryTableFieldId="8">
      <totalsRowFormula>AVERAGE(I1:I21)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A1721-419C-424F-B0C6-FBD2F58A3C19}">
  <dimension ref="A1:I23"/>
  <sheetViews>
    <sheetView tabSelected="1" workbookViewId="0">
      <selection activeCell="L16" sqref="L16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2.6640625" bestFit="1" customWidth="1"/>
    <col min="5" max="5" width="20.109375" bestFit="1" customWidth="1"/>
    <col min="6" max="6" width="13.6640625" bestFit="1" customWidth="1"/>
    <col min="7" max="7" width="16.88671875" bestFit="1" customWidth="1"/>
    <col min="8" max="8" width="16.33203125" bestFit="1" customWidth="1"/>
    <col min="9" max="9" width="23.1093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>
        <v>5.0000000000000001E-4</v>
      </c>
      <c r="C2">
        <v>0</v>
      </c>
      <c r="D2">
        <v>50</v>
      </c>
      <c r="E2">
        <v>53</v>
      </c>
      <c r="F2">
        <v>0</v>
      </c>
      <c r="G2">
        <v>200.8</v>
      </c>
      <c r="H2">
        <v>0.26394422310756971</v>
      </c>
      <c r="I2">
        <v>53</v>
      </c>
    </row>
    <row r="3" spans="2:9" x14ac:dyDescent="0.3">
      <c r="B3">
        <v>5.0000000000000001E-4</v>
      </c>
      <c r="C3">
        <v>0</v>
      </c>
      <c r="D3">
        <v>50</v>
      </c>
      <c r="E3">
        <v>58</v>
      </c>
      <c r="F3">
        <v>0</v>
      </c>
      <c r="G3">
        <v>230.16666666666666</v>
      </c>
      <c r="H3">
        <v>0.25199131064446056</v>
      </c>
      <c r="I3">
        <v>57.999999999999993</v>
      </c>
    </row>
    <row r="4" spans="2:9" x14ac:dyDescent="0.3">
      <c r="B4">
        <v>5.0000000000000001E-4</v>
      </c>
      <c r="C4">
        <v>0</v>
      </c>
      <c r="D4">
        <v>50</v>
      </c>
      <c r="E4">
        <v>55</v>
      </c>
      <c r="F4">
        <v>0</v>
      </c>
      <c r="G4">
        <v>268.5</v>
      </c>
      <c r="H4">
        <v>0.2048417132216015</v>
      </c>
      <c r="I4">
        <v>55.000000000000007</v>
      </c>
    </row>
    <row r="5" spans="2:9" x14ac:dyDescent="0.3">
      <c r="B5">
        <v>5.0000000000000001E-4</v>
      </c>
      <c r="C5">
        <v>0</v>
      </c>
      <c r="D5">
        <v>50</v>
      </c>
      <c r="E5">
        <v>47</v>
      </c>
      <c r="F5">
        <v>0</v>
      </c>
      <c r="G5">
        <v>265.39999999999998</v>
      </c>
      <c r="H5">
        <v>0.17709118311981917</v>
      </c>
      <c r="I5">
        <v>47</v>
      </c>
    </row>
    <row r="6" spans="2:9" x14ac:dyDescent="0.3">
      <c r="B6">
        <v>5.0000000000000001E-4</v>
      </c>
      <c r="C6">
        <v>0</v>
      </c>
      <c r="D6">
        <v>50</v>
      </c>
      <c r="E6">
        <v>52</v>
      </c>
      <c r="F6">
        <v>0</v>
      </c>
      <c r="G6">
        <v>250.36666666666667</v>
      </c>
      <c r="H6">
        <v>0.20769538010917321</v>
      </c>
      <c r="I6">
        <v>52</v>
      </c>
    </row>
    <row r="7" spans="2:9" x14ac:dyDescent="0.3">
      <c r="B7">
        <v>5.0000000000000001E-4</v>
      </c>
      <c r="C7">
        <v>0</v>
      </c>
      <c r="D7">
        <v>50</v>
      </c>
      <c r="E7">
        <v>58</v>
      </c>
      <c r="F7">
        <v>0</v>
      </c>
      <c r="G7">
        <v>186</v>
      </c>
      <c r="H7">
        <v>0.31182795698924731</v>
      </c>
      <c r="I7">
        <v>57.999999999999993</v>
      </c>
    </row>
    <row r="8" spans="2:9" x14ac:dyDescent="0.3">
      <c r="B8">
        <v>5.0000000000000001E-4</v>
      </c>
      <c r="C8">
        <v>0</v>
      </c>
      <c r="D8">
        <v>50</v>
      </c>
      <c r="E8">
        <v>68</v>
      </c>
      <c r="F8">
        <v>0</v>
      </c>
      <c r="G8">
        <v>444.96666666666664</v>
      </c>
      <c r="H8">
        <v>0.15282043598771444</v>
      </c>
      <c r="I8">
        <v>68</v>
      </c>
    </row>
    <row r="9" spans="2:9" x14ac:dyDescent="0.3">
      <c r="B9">
        <v>5.0000000000000001E-4</v>
      </c>
      <c r="C9">
        <v>0</v>
      </c>
      <c r="D9">
        <v>50</v>
      </c>
      <c r="E9">
        <v>54</v>
      </c>
      <c r="F9">
        <v>0</v>
      </c>
      <c r="G9">
        <v>209.5</v>
      </c>
      <c r="H9">
        <v>0.25775656324582341</v>
      </c>
      <c r="I9">
        <v>54</v>
      </c>
    </row>
    <row r="10" spans="2:9" x14ac:dyDescent="0.3">
      <c r="B10">
        <v>5.0000000000000001E-4</v>
      </c>
      <c r="C10">
        <v>0</v>
      </c>
      <c r="D10">
        <v>50</v>
      </c>
      <c r="E10">
        <v>56</v>
      </c>
      <c r="F10">
        <v>0</v>
      </c>
      <c r="G10">
        <v>337.86666666666667</v>
      </c>
      <c r="H10">
        <v>0.16574585635359115</v>
      </c>
      <c r="I10">
        <v>56.000000000000007</v>
      </c>
    </row>
    <row r="11" spans="2:9" x14ac:dyDescent="0.3">
      <c r="B11">
        <v>5.0000000000000001E-4</v>
      </c>
      <c r="C11">
        <v>0</v>
      </c>
      <c r="D11">
        <v>50</v>
      </c>
      <c r="E11">
        <v>61</v>
      </c>
      <c r="F11">
        <v>0</v>
      </c>
      <c r="G11">
        <v>293.36666666666667</v>
      </c>
      <c r="H11">
        <v>0.20793091694125668</v>
      </c>
      <c r="I11">
        <v>61</v>
      </c>
    </row>
    <row r="12" spans="2:9" x14ac:dyDescent="0.3">
      <c r="B12">
        <v>5.0000000000000001E-4</v>
      </c>
      <c r="C12">
        <v>0</v>
      </c>
      <c r="D12">
        <v>50</v>
      </c>
      <c r="E12">
        <v>58</v>
      </c>
      <c r="F12">
        <v>0</v>
      </c>
      <c r="G12">
        <v>301.86666666666667</v>
      </c>
      <c r="H12">
        <v>0.19213780918727916</v>
      </c>
      <c r="I12">
        <v>57.999999999999993</v>
      </c>
    </row>
    <row r="13" spans="2:9" x14ac:dyDescent="0.3">
      <c r="B13">
        <v>5.0000000000000001E-4</v>
      </c>
      <c r="C13">
        <v>0</v>
      </c>
      <c r="D13">
        <v>50</v>
      </c>
      <c r="E13">
        <v>56</v>
      </c>
      <c r="F13">
        <v>0</v>
      </c>
      <c r="G13">
        <v>316.46666666666664</v>
      </c>
      <c r="H13">
        <v>0.17695386559932591</v>
      </c>
      <c r="I13">
        <v>56.000000000000007</v>
      </c>
    </row>
    <row r="14" spans="2:9" x14ac:dyDescent="0.3">
      <c r="B14">
        <v>5.0000000000000001E-4</v>
      </c>
      <c r="C14">
        <v>0</v>
      </c>
      <c r="D14">
        <v>50</v>
      </c>
      <c r="E14">
        <v>62</v>
      </c>
      <c r="F14">
        <v>0</v>
      </c>
      <c r="G14">
        <v>375.1</v>
      </c>
      <c r="H14">
        <v>0.16528925619834708</v>
      </c>
      <c r="I14">
        <v>62</v>
      </c>
    </row>
    <row r="15" spans="2:9" x14ac:dyDescent="0.3">
      <c r="B15">
        <v>5.0000000000000001E-4</v>
      </c>
      <c r="C15">
        <v>0</v>
      </c>
      <c r="D15">
        <v>50</v>
      </c>
      <c r="E15">
        <v>54</v>
      </c>
      <c r="F15">
        <v>0</v>
      </c>
      <c r="G15">
        <v>260.66666666666669</v>
      </c>
      <c r="H15">
        <v>0.20716112531969308</v>
      </c>
      <c r="I15">
        <v>54</v>
      </c>
    </row>
    <row r="16" spans="2:9" x14ac:dyDescent="0.3">
      <c r="B16">
        <v>5.0000000000000001E-4</v>
      </c>
      <c r="C16">
        <v>0</v>
      </c>
      <c r="D16">
        <v>50</v>
      </c>
      <c r="E16">
        <v>63</v>
      </c>
      <c r="F16">
        <v>0</v>
      </c>
      <c r="G16">
        <v>255.3</v>
      </c>
      <c r="H16">
        <v>0.24676850763807284</v>
      </c>
      <c r="I16">
        <v>63</v>
      </c>
    </row>
    <row r="17" spans="1:9" x14ac:dyDescent="0.3">
      <c r="B17">
        <v>5.0000000000000001E-4</v>
      </c>
      <c r="C17">
        <v>0</v>
      </c>
      <c r="D17">
        <v>50</v>
      </c>
      <c r="E17">
        <v>56</v>
      </c>
      <c r="F17">
        <v>0</v>
      </c>
      <c r="G17">
        <v>257.96666666666664</v>
      </c>
      <c r="H17">
        <v>0.21708231037601761</v>
      </c>
      <c r="I17">
        <v>56.000000000000007</v>
      </c>
    </row>
    <row r="18" spans="1:9" x14ac:dyDescent="0.3">
      <c r="B18">
        <v>5.0000000000000001E-4</v>
      </c>
      <c r="C18">
        <v>0</v>
      </c>
      <c r="D18">
        <v>50</v>
      </c>
      <c r="E18">
        <v>52</v>
      </c>
      <c r="F18">
        <v>0</v>
      </c>
      <c r="G18">
        <v>229.53333333333333</v>
      </c>
      <c r="H18">
        <v>0.22654661632297415</v>
      </c>
      <c r="I18">
        <v>52</v>
      </c>
    </row>
    <row r="19" spans="1:9" x14ac:dyDescent="0.3">
      <c r="B19">
        <v>5.0000000000000001E-4</v>
      </c>
      <c r="C19">
        <v>0</v>
      </c>
      <c r="D19">
        <v>50</v>
      </c>
      <c r="E19">
        <v>50</v>
      </c>
      <c r="F19">
        <v>0</v>
      </c>
      <c r="G19">
        <v>264.26666666666665</v>
      </c>
      <c r="H19">
        <v>0.18920282542885974</v>
      </c>
      <c r="I19">
        <v>50</v>
      </c>
    </row>
    <row r="20" spans="1:9" x14ac:dyDescent="0.3">
      <c r="B20">
        <v>5.0000000000000001E-4</v>
      </c>
      <c r="C20">
        <v>0</v>
      </c>
      <c r="D20">
        <v>50</v>
      </c>
      <c r="E20">
        <v>45</v>
      </c>
      <c r="F20">
        <v>0</v>
      </c>
      <c r="G20">
        <v>377.9</v>
      </c>
      <c r="H20">
        <v>0.1190791214607039</v>
      </c>
      <c r="I20">
        <v>45</v>
      </c>
    </row>
    <row r="21" spans="1:9" x14ac:dyDescent="0.3">
      <c r="B21">
        <v>5.0000000000000001E-4</v>
      </c>
      <c r="C21">
        <v>0</v>
      </c>
      <c r="D21">
        <v>50</v>
      </c>
      <c r="E21">
        <v>55</v>
      </c>
      <c r="F21">
        <v>0</v>
      </c>
      <c r="G21">
        <v>167.43333333333334</v>
      </c>
      <c r="H21">
        <v>0.3284889508261995</v>
      </c>
      <c r="I21">
        <v>55.000000000000007</v>
      </c>
    </row>
    <row r="22" spans="1:9" x14ac:dyDescent="0.3">
      <c r="A22" t="s">
        <v>8</v>
      </c>
      <c r="B22">
        <f t="shared" ref="B22:I22" si="0">AVERAGE(B1:B21)</f>
        <v>5.0000000000000023E-4</v>
      </c>
      <c r="C22">
        <f t="shared" si="0"/>
        <v>0</v>
      </c>
      <c r="D22">
        <f t="shared" si="0"/>
        <v>50</v>
      </c>
      <c r="E22">
        <f t="shared" si="0"/>
        <v>55.65</v>
      </c>
      <c r="F22">
        <f t="shared" si="0"/>
        <v>0</v>
      </c>
      <c r="G22">
        <f t="shared" si="0"/>
        <v>274.67166666666662</v>
      </c>
      <c r="H22">
        <f t="shared" si="0"/>
        <v>0.21351779640388652</v>
      </c>
      <c r="I22">
        <f t="shared" si="0"/>
        <v>55.65</v>
      </c>
    </row>
    <row r="23" spans="1:9" x14ac:dyDescent="0.3">
      <c r="A23" t="s">
        <v>9</v>
      </c>
      <c r="B23">
        <v>0</v>
      </c>
      <c r="C23">
        <f t="shared" ref="C23:I23" si="1">_xlfn.STDEV.P(C1:C21)</f>
        <v>0</v>
      </c>
      <c r="D23">
        <f t="shared" si="1"/>
        <v>0</v>
      </c>
      <c r="E23">
        <f t="shared" si="1"/>
        <v>5.2561868307738067</v>
      </c>
      <c r="F23">
        <f t="shared" si="1"/>
        <v>0</v>
      </c>
      <c r="G23">
        <f t="shared" si="1"/>
        <v>67.576103004111118</v>
      </c>
      <c r="H23">
        <f t="shared" si="1"/>
        <v>5.0623780756044449E-2</v>
      </c>
      <c r="I23">
        <f t="shared" si="1"/>
        <v>5.2561868307738067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3AA0B-4418-4099-A36B-AC40566D6A05}">
  <dimension ref="A1:I23"/>
  <sheetViews>
    <sheetView workbookViewId="0">
      <selection activeCell="E26" sqref="E26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2.6640625" bestFit="1" customWidth="1"/>
    <col min="5" max="5" width="20.109375" bestFit="1" customWidth="1"/>
    <col min="6" max="6" width="13.6640625" bestFit="1" customWidth="1"/>
    <col min="7" max="7" width="16.88671875" bestFit="1" customWidth="1"/>
    <col min="8" max="8" width="16.33203125" bestFit="1" customWidth="1"/>
    <col min="9" max="9" width="23.1093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>
        <v>5.0000000000000002E-5</v>
      </c>
      <c r="C2">
        <v>0</v>
      </c>
      <c r="D2">
        <v>50</v>
      </c>
      <c r="E2">
        <v>90</v>
      </c>
      <c r="F2">
        <v>0</v>
      </c>
      <c r="G2">
        <v>2709.0333333333333</v>
      </c>
      <c r="H2">
        <v>3.3222182574350015E-2</v>
      </c>
      <c r="I2">
        <v>90</v>
      </c>
    </row>
    <row r="3" spans="2:9" x14ac:dyDescent="0.3">
      <c r="B3">
        <v>5.0000000000000002E-5</v>
      </c>
      <c r="C3">
        <v>0</v>
      </c>
      <c r="D3">
        <v>50</v>
      </c>
      <c r="E3">
        <v>93</v>
      </c>
      <c r="F3">
        <v>0</v>
      </c>
      <c r="G3">
        <v>2336.6999999999998</v>
      </c>
      <c r="H3">
        <v>3.9799717550391578E-2</v>
      </c>
      <c r="I3">
        <v>93</v>
      </c>
    </row>
    <row r="4" spans="2:9" x14ac:dyDescent="0.3">
      <c r="B4">
        <v>5.0000000000000002E-5</v>
      </c>
      <c r="C4">
        <v>0</v>
      </c>
      <c r="D4">
        <v>50</v>
      </c>
      <c r="E4">
        <v>93</v>
      </c>
      <c r="F4">
        <v>0</v>
      </c>
      <c r="G4">
        <v>2141.0333333333333</v>
      </c>
      <c r="H4">
        <v>4.3436969687534056E-2</v>
      </c>
      <c r="I4">
        <v>93</v>
      </c>
    </row>
    <row r="5" spans="2:9" x14ac:dyDescent="0.3">
      <c r="B5">
        <v>5.0000000000000002E-5</v>
      </c>
      <c r="C5">
        <v>0</v>
      </c>
      <c r="D5">
        <v>50</v>
      </c>
      <c r="E5">
        <v>91</v>
      </c>
      <c r="F5">
        <v>0</v>
      </c>
      <c r="G5">
        <v>2521.1</v>
      </c>
      <c r="H5">
        <v>3.6095355202094323E-2</v>
      </c>
      <c r="I5">
        <v>91</v>
      </c>
    </row>
    <row r="6" spans="2:9" x14ac:dyDescent="0.3">
      <c r="B6">
        <v>5.0000000000000002E-5</v>
      </c>
      <c r="C6">
        <v>0</v>
      </c>
      <c r="D6">
        <v>50</v>
      </c>
      <c r="E6">
        <v>89</v>
      </c>
      <c r="F6">
        <v>0</v>
      </c>
      <c r="G6">
        <v>2475.1</v>
      </c>
      <c r="H6">
        <v>3.5958143105329077E-2</v>
      </c>
      <c r="I6">
        <v>89</v>
      </c>
    </row>
    <row r="7" spans="2:9" x14ac:dyDescent="0.3">
      <c r="B7">
        <v>5.0000000000000002E-5</v>
      </c>
      <c r="C7">
        <v>0</v>
      </c>
      <c r="D7">
        <v>50</v>
      </c>
      <c r="E7">
        <v>95</v>
      </c>
      <c r="F7">
        <v>0</v>
      </c>
      <c r="G7">
        <v>2201.6666666666665</v>
      </c>
      <c r="H7">
        <v>4.3149129447388343E-2</v>
      </c>
      <c r="I7">
        <v>95</v>
      </c>
    </row>
    <row r="8" spans="2:9" x14ac:dyDescent="0.3">
      <c r="B8">
        <v>5.0000000000000002E-5</v>
      </c>
      <c r="C8">
        <v>0</v>
      </c>
      <c r="D8">
        <v>50</v>
      </c>
      <c r="E8">
        <v>87</v>
      </c>
      <c r="F8">
        <v>0</v>
      </c>
      <c r="G8">
        <v>3736.5</v>
      </c>
      <c r="H8">
        <v>2.3283821758329989E-2</v>
      </c>
      <c r="I8">
        <v>87</v>
      </c>
    </row>
    <row r="9" spans="2:9" x14ac:dyDescent="0.3">
      <c r="B9">
        <v>5.0000000000000002E-5</v>
      </c>
      <c r="C9">
        <v>0</v>
      </c>
      <c r="D9">
        <v>50</v>
      </c>
      <c r="E9">
        <v>97</v>
      </c>
      <c r="F9">
        <v>0</v>
      </c>
      <c r="G9">
        <v>1871.4</v>
      </c>
      <c r="H9">
        <v>5.1832852409960453E-2</v>
      </c>
      <c r="I9">
        <v>97</v>
      </c>
    </row>
    <row r="10" spans="2:9" x14ac:dyDescent="0.3">
      <c r="B10">
        <v>5.0000000000000002E-5</v>
      </c>
      <c r="C10">
        <v>0</v>
      </c>
      <c r="D10">
        <v>50</v>
      </c>
      <c r="E10">
        <v>98</v>
      </c>
      <c r="F10">
        <v>0</v>
      </c>
      <c r="G10">
        <v>2774.0666666666666</v>
      </c>
      <c r="H10">
        <v>3.5327197135372856E-2</v>
      </c>
      <c r="I10">
        <v>98</v>
      </c>
    </row>
    <row r="11" spans="2:9" x14ac:dyDescent="0.3">
      <c r="B11">
        <v>5.0000000000000002E-5</v>
      </c>
      <c r="C11">
        <v>0</v>
      </c>
      <c r="D11">
        <v>50</v>
      </c>
      <c r="E11">
        <v>95</v>
      </c>
      <c r="F11">
        <v>0</v>
      </c>
      <c r="G11">
        <v>2579.2333333333331</v>
      </c>
      <c r="H11">
        <v>3.6832650529227032E-2</v>
      </c>
      <c r="I11">
        <v>95</v>
      </c>
    </row>
    <row r="12" spans="2:9" x14ac:dyDescent="0.3">
      <c r="B12">
        <v>5.0000000000000002E-5</v>
      </c>
      <c r="C12">
        <v>0</v>
      </c>
      <c r="D12">
        <v>50</v>
      </c>
      <c r="E12">
        <v>99</v>
      </c>
      <c r="F12">
        <v>0</v>
      </c>
      <c r="G12">
        <v>3442.7666666666669</v>
      </c>
      <c r="H12">
        <v>2.8755942410658094E-2</v>
      </c>
      <c r="I12">
        <v>99</v>
      </c>
    </row>
    <row r="13" spans="2:9" x14ac:dyDescent="0.3">
      <c r="B13">
        <v>5.0000000000000002E-5</v>
      </c>
      <c r="C13">
        <v>0</v>
      </c>
      <c r="D13">
        <v>50</v>
      </c>
      <c r="E13">
        <v>95</v>
      </c>
      <c r="F13">
        <v>0</v>
      </c>
      <c r="G13">
        <v>3736.3666666666668</v>
      </c>
      <c r="H13">
        <v>2.5425770133195351E-2</v>
      </c>
      <c r="I13">
        <v>95</v>
      </c>
    </row>
    <row r="14" spans="2:9" x14ac:dyDescent="0.3">
      <c r="B14">
        <v>5.0000000000000002E-5</v>
      </c>
      <c r="C14">
        <v>0</v>
      </c>
      <c r="D14">
        <v>50</v>
      </c>
      <c r="E14">
        <v>90</v>
      </c>
      <c r="F14">
        <v>0</v>
      </c>
      <c r="G14">
        <v>2953.9333333333334</v>
      </c>
      <c r="H14">
        <v>3.0467850775237535E-2</v>
      </c>
      <c r="I14">
        <v>90</v>
      </c>
    </row>
    <row r="15" spans="2:9" x14ac:dyDescent="0.3">
      <c r="B15">
        <v>5.0000000000000002E-5</v>
      </c>
      <c r="C15">
        <v>0</v>
      </c>
      <c r="D15">
        <v>50</v>
      </c>
      <c r="E15">
        <v>93</v>
      </c>
      <c r="F15">
        <v>0</v>
      </c>
      <c r="G15">
        <v>5867.9</v>
      </c>
      <c r="H15">
        <v>1.584894084766271E-2</v>
      </c>
      <c r="I15">
        <v>93</v>
      </c>
    </row>
    <row r="16" spans="2:9" x14ac:dyDescent="0.3">
      <c r="B16">
        <v>5.0000000000000002E-5</v>
      </c>
      <c r="C16">
        <v>0</v>
      </c>
      <c r="D16">
        <v>50</v>
      </c>
      <c r="E16">
        <v>78</v>
      </c>
      <c r="F16">
        <v>0</v>
      </c>
      <c r="G16">
        <v>3348.4333333333334</v>
      </c>
      <c r="H16">
        <v>2.3294476023613033E-2</v>
      </c>
      <c r="I16">
        <v>78</v>
      </c>
    </row>
    <row r="17" spans="1:9" x14ac:dyDescent="0.3">
      <c r="B17">
        <v>5.0000000000000002E-5</v>
      </c>
      <c r="C17">
        <v>0</v>
      </c>
      <c r="D17">
        <v>50</v>
      </c>
      <c r="E17">
        <v>94</v>
      </c>
      <c r="F17">
        <v>0</v>
      </c>
      <c r="G17">
        <v>4078.6333333333332</v>
      </c>
      <c r="H17">
        <v>2.3046935656551623E-2</v>
      </c>
      <c r="I17">
        <v>94</v>
      </c>
    </row>
    <row r="18" spans="1:9" x14ac:dyDescent="0.3">
      <c r="B18">
        <v>5.0000000000000002E-5</v>
      </c>
      <c r="C18">
        <v>0</v>
      </c>
      <c r="D18">
        <v>50</v>
      </c>
      <c r="E18">
        <v>93</v>
      </c>
      <c r="F18">
        <v>0</v>
      </c>
      <c r="G18">
        <v>2381.8666666666668</v>
      </c>
      <c r="H18">
        <v>3.9045006717420505E-2</v>
      </c>
      <c r="I18">
        <v>93</v>
      </c>
    </row>
    <row r="19" spans="1:9" x14ac:dyDescent="0.3">
      <c r="B19">
        <v>5.0000000000000002E-5</v>
      </c>
      <c r="C19">
        <v>0</v>
      </c>
      <c r="D19">
        <v>50</v>
      </c>
      <c r="E19">
        <v>99</v>
      </c>
      <c r="F19">
        <v>0</v>
      </c>
      <c r="G19">
        <v>2254.6333333333332</v>
      </c>
      <c r="H19">
        <v>4.3909578793299729E-2</v>
      </c>
      <c r="I19">
        <v>99</v>
      </c>
    </row>
    <row r="20" spans="1:9" x14ac:dyDescent="0.3">
      <c r="B20">
        <v>5.0000000000000002E-5</v>
      </c>
      <c r="C20">
        <v>0</v>
      </c>
      <c r="D20">
        <v>50</v>
      </c>
      <c r="E20">
        <v>99</v>
      </c>
      <c r="F20">
        <v>0</v>
      </c>
      <c r="G20">
        <v>3499.9</v>
      </c>
      <c r="H20">
        <v>2.8286522472070631E-2</v>
      </c>
      <c r="I20">
        <v>99</v>
      </c>
    </row>
    <row r="21" spans="1:9" x14ac:dyDescent="0.3">
      <c r="B21">
        <v>5.0000000000000002E-5</v>
      </c>
      <c r="C21">
        <v>0</v>
      </c>
      <c r="D21">
        <v>50</v>
      </c>
      <c r="E21">
        <v>100</v>
      </c>
      <c r="F21">
        <v>4</v>
      </c>
      <c r="G21">
        <v>2171.9333333333334</v>
      </c>
      <c r="H21">
        <v>4.6041928849872613E-2</v>
      </c>
      <c r="I21">
        <v>100</v>
      </c>
    </row>
    <row r="22" spans="1:9" x14ac:dyDescent="0.3">
      <c r="A22" t="s">
        <v>8</v>
      </c>
      <c r="B22">
        <v>5.0000000000000002E-5</v>
      </c>
      <c r="C22">
        <v>0</v>
      </c>
      <c r="D22">
        <v>50</v>
      </c>
      <c r="E22">
        <f>AVERAGE(E1:E21)</f>
        <v>93.4</v>
      </c>
      <c r="F22">
        <f>AVERAGE(F1:F21)</f>
        <v>0.2</v>
      </c>
      <c r="G22">
        <f>AVERAGE(G1:G21)</f>
        <v>2954.11</v>
      </c>
      <c r="H22">
        <f>AVERAGE(H1:H21)</f>
        <v>3.4153048603977977E-2</v>
      </c>
      <c r="I22">
        <f>AVERAGE(I1:I21)</f>
        <v>93.4</v>
      </c>
    </row>
    <row r="23" spans="1:9" x14ac:dyDescent="0.3">
      <c r="A23" t="s">
        <v>9</v>
      </c>
      <c r="B23">
        <v>0</v>
      </c>
      <c r="C23">
        <f t="shared" ref="C23:I23" si="0">_xlfn.STDEV.P(C1:C22)</f>
        <v>0</v>
      </c>
      <c r="D23">
        <f t="shared" si="0"/>
        <v>0</v>
      </c>
      <c r="E23">
        <f t="shared" si="0"/>
        <v>4.9125689138508113</v>
      </c>
      <c r="F23">
        <f t="shared" si="0"/>
        <v>0.85076995939532551</v>
      </c>
      <c r="G23">
        <f t="shared" si="0"/>
        <v>887.21494351110732</v>
      </c>
      <c r="H23">
        <f t="shared" si="0"/>
        <v>8.82698697414111E-3</v>
      </c>
      <c r="I23">
        <f t="shared" si="0"/>
        <v>4.9125689138508113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0F99-BCDA-4D6D-8E92-4BF38960A26E}">
  <dimension ref="A1:I23"/>
  <sheetViews>
    <sheetView workbookViewId="0">
      <selection activeCell="F27" sqref="F27"/>
    </sheetView>
  </sheetViews>
  <sheetFormatPr defaultRowHeight="14.4" x14ac:dyDescent="0.3"/>
  <cols>
    <col min="2" max="2" width="13" bestFit="1" customWidth="1"/>
    <col min="3" max="3" width="11.5546875" bestFit="1" customWidth="1"/>
    <col min="4" max="4" width="12.6640625" bestFit="1" customWidth="1"/>
    <col min="5" max="5" width="20.109375" bestFit="1" customWidth="1"/>
    <col min="6" max="6" width="13.6640625" bestFit="1" customWidth="1"/>
    <col min="7" max="7" width="16.88671875" bestFit="1" customWidth="1"/>
    <col min="8" max="8" width="16.33203125" bestFit="1" customWidth="1"/>
    <col min="9" max="9" width="23.1093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>
        <v>2.0000000000000001E-4</v>
      </c>
      <c r="C2">
        <v>0</v>
      </c>
      <c r="D2">
        <v>50</v>
      </c>
      <c r="E2">
        <v>65</v>
      </c>
      <c r="F2">
        <v>0</v>
      </c>
      <c r="G2">
        <v>542</v>
      </c>
      <c r="H2">
        <v>0.11992619926199262</v>
      </c>
      <c r="I2">
        <v>65</v>
      </c>
    </row>
    <row r="3" spans="2:9" x14ac:dyDescent="0.3">
      <c r="B3">
        <v>2.0000000000000001E-4</v>
      </c>
      <c r="C3">
        <v>0</v>
      </c>
      <c r="D3">
        <v>50</v>
      </c>
      <c r="E3">
        <v>72</v>
      </c>
      <c r="F3">
        <v>0</v>
      </c>
      <c r="G3">
        <v>576.43333333333328</v>
      </c>
      <c r="H3">
        <v>0.12490603134216158</v>
      </c>
      <c r="I3">
        <v>72</v>
      </c>
    </row>
    <row r="4" spans="2:9" x14ac:dyDescent="0.3">
      <c r="B4">
        <v>2.0000000000000001E-4</v>
      </c>
      <c r="C4">
        <v>0</v>
      </c>
      <c r="D4">
        <v>50</v>
      </c>
      <c r="E4">
        <v>71</v>
      </c>
      <c r="F4">
        <v>0</v>
      </c>
      <c r="G4">
        <v>524.36666666666667</v>
      </c>
      <c r="H4">
        <v>0.13540143665374102</v>
      </c>
      <c r="I4">
        <v>71</v>
      </c>
    </row>
    <row r="5" spans="2:9" x14ac:dyDescent="0.3">
      <c r="B5">
        <v>2.0000000000000001E-4</v>
      </c>
      <c r="C5">
        <v>0</v>
      </c>
      <c r="D5">
        <v>50</v>
      </c>
      <c r="E5">
        <v>70</v>
      </c>
      <c r="F5">
        <v>0</v>
      </c>
      <c r="G5">
        <v>560.56666666666672</v>
      </c>
      <c r="H5">
        <v>0.12487363976928108</v>
      </c>
      <c r="I5">
        <v>70</v>
      </c>
    </row>
    <row r="6" spans="2:9" x14ac:dyDescent="0.3">
      <c r="B6">
        <v>2.0000000000000001E-4</v>
      </c>
      <c r="C6">
        <v>0</v>
      </c>
      <c r="D6">
        <v>50</v>
      </c>
      <c r="E6">
        <v>63</v>
      </c>
      <c r="F6">
        <v>0</v>
      </c>
      <c r="G6">
        <v>723.86666666666667</v>
      </c>
      <c r="H6">
        <v>8.7032602689261371E-2</v>
      </c>
      <c r="I6">
        <v>63</v>
      </c>
    </row>
    <row r="7" spans="2:9" x14ac:dyDescent="0.3">
      <c r="B7">
        <v>2.0000000000000001E-4</v>
      </c>
      <c r="C7">
        <v>0</v>
      </c>
      <c r="D7">
        <v>50</v>
      </c>
      <c r="E7">
        <v>79</v>
      </c>
      <c r="F7">
        <v>0</v>
      </c>
      <c r="G7">
        <v>609.86666666666667</v>
      </c>
      <c r="H7">
        <v>0.1295365107127241</v>
      </c>
      <c r="I7">
        <v>79</v>
      </c>
    </row>
    <row r="8" spans="2:9" x14ac:dyDescent="0.3">
      <c r="B8">
        <v>2.0000000000000001E-4</v>
      </c>
      <c r="C8">
        <v>0</v>
      </c>
      <c r="D8">
        <v>50</v>
      </c>
      <c r="E8">
        <v>75</v>
      </c>
      <c r="F8">
        <v>0</v>
      </c>
      <c r="G8">
        <v>456.16666666666669</v>
      </c>
      <c r="H8">
        <v>0.16441359152356594</v>
      </c>
      <c r="I8">
        <v>75</v>
      </c>
    </row>
    <row r="9" spans="2:9" x14ac:dyDescent="0.3">
      <c r="B9">
        <v>2.0000000000000001E-4</v>
      </c>
      <c r="C9">
        <v>0</v>
      </c>
      <c r="D9">
        <v>50</v>
      </c>
      <c r="E9">
        <v>81</v>
      </c>
      <c r="F9">
        <v>0</v>
      </c>
      <c r="G9">
        <v>825.2</v>
      </c>
      <c r="H9">
        <v>9.8158022297624811E-2</v>
      </c>
      <c r="I9">
        <v>81</v>
      </c>
    </row>
    <row r="10" spans="2:9" x14ac:dyDescent="0.3">
      <c r="B10">
        <v>2.0000000000000001E-4</v>
      </c>
      <c r="C10">
        <v>0</v>
      </c>
      <c r="D10">
        <v>50</v>
      </c>
      <c r="E10">
        <v>76</v>
      </c>
      <c r="F10">
        <v>0</v>
      </c>
      <c r="G10">
        <v>991.9666666666667</v>
      </c>
      <c r="H10">
        <v>7.6615477670620644E-2</v>
      </c>
      <c r="I10">
        <v>76</v>
      </c>
    </row>
    <row r="11" spans="2:9" x14ac:dyDescent="0.3">
      <c r="B11">
        <v>2.0000000000000001E-4</v>
      </c>
      <c r="C11">
        <v>0</v>
      </c>
      <c r="D11">
        <v>50</v>
      </c>
      <c r="E11">
        <v>82</v>
      </c>
      <c r="F11">
        <v>0</v>
      </c>
      <c r="G11">
        <v>783.13333333333333</v>
      </c>
      <c r="H11">
        <v>0.10470758491529752</v>
      </c>
      <c r="I11">
        <v>82</v>
      </c>
    </row>
    <row r="12" spans="2:9" x14ac:dyDescent="0.3">
      <c r="B12">
        <v>2.0000000000000001E-4</v>
      </c>
      <c r="C12">
        <v>0</v>
      </c>
      <c r="D12">
        <v>50</v>
      </c>
      <c r="E12">
        <v>71</v>
      </c>
      <c r="F12">
        <v>0</v>
      </c>
      <c r="G12">
        <v>615.06666666666672</v>
      </c>
      <c r="H12">
        <v>0.11543464123130283</v>
      </c>
      <c r="I12">
        <v>71</v>
      </c>
    </row>
    <row r="13" spans="2:9" x14ac:dyDescent="0.3">
      <c r="B13">
        <v>2.0000000000000001E-4</v>
      </c>
      <c r="C13">
        <v>0</v>
      </c>
      <c r="D13">
        <v>50</v>
      </c>
      <c r="E13">
        <v>78</v>
      </c>
      <c r="F13">
        <v>0</v>
      </c>
      <c r="G13">
        <v>620.16666666666663</v>
      </c>
      <c r="H13">
        <v>0.12577264176296696</v>
      </c>
      <c r="I13">
        <v>78</v>
      </c>
    </row>
    <row r="14" spans="2:9" x14ac:dyDescent="0.3">
      <c r="B14">
        <v>2.0000000000000001E-4</v>
      </c>
      <c r="C14">
        <v>0</v>
      </c>
      <c r="D14">
        <v>50</v>
      </c>
      <c r="E14">
        <v>70</v>
      </c>
      <c r="F14">
        <v>0</v>
      </c>
      <c r="G14">
        <v>812.66666666666663</v>
      </c>
      <c r="H14">
        <v>8.6136177194421668E-2</v>
      </c>
      <c r="I14">
        <v>70</v>
      </c>
    </row>
    <row r="15" spans="2:9" x14ac:dyDescent="0.3">
      <c r="B15">
        <v>2.0000000000000001E-4</v>
      </c>
      <c r="C15">
        <v>0</v>
      </c>
      <c r="D15">
        <v>50</v>
      </c>
      <c r="E15">
        <v>74</v>
      </c>
      <c r="F15">
        <v>0</v>
      </c>
      <c r="G15">
        <v>1509.3</v>
      </c>
      <c r="H15">
        <v>4.9029351354932749E-2</v>
      </c>
      <c r="I15">
        <v>74</v>
      </c>
    </row>
    <row r="16" spans="2:9" x14ac:dyDescent="0.3">
      <c r="B16">
        <v>2.0000000000000001E-4</v>
      </c>
      <c r="C16">
        <v>0</v>
      </c>
      <c r="D16">
        <v>50</v>
      </c>
      <c r="E16">
        <v>79</v>
      </c>
      <c r="F16">
        <v>0</v>
      </c>
      <c r="G16">
        <v>438.23333333333335</v>
      </c>
      <c r="H16">
        <v>0.18026926294972237</v>
      </c>
      <c r="I16">
        <v>79</v>
      </c>
    </row>
    <row r="17" spans="1:9" x14ac:dyDescent="0.3">
      <c r="B17">
        <v>2.0000000000000001E-4</v>
      </c>
      <c r="C17">
        <v>0</v>
      </c>
      <c r="D17">
        <v>50</v>
      </c>
      <c r="E17">
        <v>65</v>
      </c>
      <c r="F17">
        <v>0</v>
      </c>
      <c r="G17">
        <v>598.5333333333333</v>
      </c>
      <c r="H17">
        <v>0.10859879705947872</v>
      </c>
      <c r="I17">
        <v>65</v>
      </c>
    </row>
    <row r="18" spans="1:9" x14ac:dyDescent="0.3">
      <c r="B18">
        <v>2.0000000000000001E-4</v>
      </c>
      <c r="C18">
        <v>0</v>
      </c>
      <c r="D18">
        <v>50</v>
      </c>
      <c r="E18">
        <v>77</v>
      </c>
      <c r="F18">
        <v>0</v>
      </c>
      <c r="G18">
        <v>411.1</v>
      </c>
      <c r="H18">
        <v>0.18730235952323035</v>
      </c>
      <c r="I18">
        <v>77</v>
      </c>
    </row>
    <row r="19" spans="1:9" x14ac:dyDescent="0.3">
      <c r="B19">
        <v>2.0000000000000001E-4</v>
      </c>
      <c r="C19">
        <v>0</v>
      </c>
      <c r="D19">
        <v>50</v>
      </c>
      <c r="E19">
        <v>59</v>
      </c>
      <c r="F19">
        <v>0</v>
      </c>
      <c r="G19">
        <v>727.0333333333333</v>
      </c>
      <c r="H19">
        <v>8.1151712438677734E-2</v>
      </c>
      <c r="I19">
        <v>59</v>
      </c>
    </row>
    <row r="20" spans="1:9" x14ac:dyDescent="0.3">
      <c r="B20">
        <v>2.0000000000000001E-4</v>
      </c>
      <c r="C20">
        <v>0</v>
      </c>
      <c r="D20">
        <v>50</v>
      </c>
      <c r="E20">
        <v>72</v>
      </c>
      <c r="F20">
        <v>0</v>
      </c>
      <c r="G20">
        <v>1268.2333333333333</v>
      </c>
      <c r="H20">
        <v>5.6771887402423317E-2</v>
      </c>
      <c r="I20">
        <v>72</v>
      </c>
    </row>
    <row r="21" spans="1:9" x14ac:dyDescent="0.3">
      <c r="B21">
        <v>2.0000000000000001E-4</v>
      </c>
      <c r="C21">
        <v>0</v>
      </c>
      <c r="D21">
        <v>50</v>
      </c>
      <c r="E21">
        <v>64</v>
      </c>
      <c r="F21">
        <v>0</v>
      </c>
      <c r="G21">
        <v>773.36666666666667</v>
      </c>
      <c r="H21">
        <v>8.2755053661480102E-2</v>
      </c>
      <c r="I21">
        <v>64</v>
      </c>
    </row>
    <row r="22" spans="1:9" x14ac:dyDescent="0.3">
      <c r="A22" t="s">
        <v>8</v>
      </c>
      <c r="C22">
        <f t="shared" ref="C22:I22" si="0">AVERAGE(C1:C21)</f>
        <v>0</v>
      </c>
      <c r="D22">
        <f t="shared" si="0"/>
        <v>50</v>
      </c>
      <c r="E22">
        <f t="shared" si="0"/>
        <v>72.150000000000006</v>
      </c>
      <c r="F22">
        <f t="shared" si="0"/>
        <v>0</v>
      </c>
      <c r="G22">
        <f t="shared" si="0"/>
        <v>718.36333333333334</v>
      </c>
      <c r="H22">
        <f t="shared" si="0"/>
        <v>0.11193964907074538</v>
      </c>
      <c r="I22">
        <f t="shared" si="0"/>
        <v>72.150000000000006</v>
      </c>
    </row>
    <row r="23" spans="1:9" x14ac:dyDescent="0.3">
      <c r="A23" t="s">
        <v>9</v>
      </c>
      <c r="B23">
        <v>0</v>
      </c>
      <c r="C23">
        <f t="shared" ref="C23:I23" si="1">_xlfn.STDEV.P(C1:C21)</f>
        <v>0</v>
      </c>
      <c r="D23">
        <f t="shared" si="1"/>
        <v>0</v>
      </c>
      <c r="E23">
        <f t="shared" si="1"/>
        <v>6.2870899468673098</v>
      </c>
      <c r="F23">
        <f t="shared" si="1"/>
        <v>0</v>
      </c>
      <c r="G23">
        <f t="shared" si="1"/>
        <v>267.60854161338801</v>
      </c>
      <c r="H23">
        <f t="shared" si="1"/>
        <v>3.616148528576546E-2</v>
      </c>
      <c r="I23">
        <f t="shared" si="1"/>
        <v>6.2870899468673098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9A135F-CCD3-4954-B153-928A51DBC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failure_0 05_summary</vt:lpstr>
      <vt:lpstr>failure_0 005_summary</vt:lpstr>
      <vt:lpstr>failure_0 02_summary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Jha</dc:creator>
  <cp:lastModifiedBy>Piyush Jha</cp:lastModifiedBy>
  <dcterms:created xsi:type="dcterms:W3CDTF">2026-06-27T13:33:52Z</dcterms:created>
  <dcterms:modified xsi:type="dcterms:W3CDTF">2026-06-27T13:52:18Z</dcterms:modified>
</cp:coreProperties>
</file>